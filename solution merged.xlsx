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esktop\DATA ANALYTICS\Edoxi\Project\Project Solution - pharma\"/>
    </mc:Choice>
  </mc:AlternateContent>
  <xr:revisionPtr revIDLastSave="0" documentId="13_ncr:1_{BFBA1C7B-0793-42FD-B05F-E7E42E5CB84D}" xr6:coauthVersionLast="47" xr6:coauthVersionMax="47" xr10:uidLastSave="{00000000-0000-0000-0000-000000000000}"/>
  <bookViews>
    <workbookView xWindow="-120" yWindow="-120" windowWidth="20730" windowHeight="11040" activeTab="1" xr2:uid="{B1D6A0F9-210B-46A9-B327-3CE405BC384B}"/>
  </bookViews>
  <sheets>
    <sheet name="pivoting" sheetId="10" r:id="rId1"/>
    <sheet name="Sales" sheetId="4" r:id="rId2"/>
    <sheet name="Drugs" sheetId="3" r:id="rId3"/>
    <sheet name="Customers" sheetId="2" r:id="rId4"/>
    <sheet name="charts" sheetId="14" r:id="rId5"/>
  </sheets>
  <definedNames>
    <definedName name="_xlnm._FilterDatabase" localSheetId="0" hidden="1">pivoting!$D$19:$H$31</definedName>
    <definedName name="_xlcn.WorksheetConnection_SalesA2G411" hidden="1">Sales!$A$2:$H$41</definedName>
    <definedName name="_xlcn.WorksheetConnection_SalesAG1" hidden="1">Sales!$A:$G</definedName>
    <definedName name="_xlcn.WorksheetConnection_solutionmerged.xlsxCustomers1" hidden="1">Customers[]</definedName>
    <definedName name="_xlcn.WorksheetConnection_solutionmerged.xlsxDrugs1" hidden="1">Drugs[]</definedName>
    <definedName name="_xlcn.WorksheetConnection_solutionmerged.xlsxSales1" hidden="1">Sales[]</definedName>
    <definedName name="ExternalData_1" localSheetId="3" hidden="1">'Customers'!$A$1:$E$61</definedName>
    <definedName name="ExternalData_2" localSheetId="2" hidden="1">Drugs!$A$1:$G$41</definedName>
    <definedName name="ExternalData_3" localSheetId="1" hidden="1">Sales!$A$1:$H$41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solution merged.xlsx!Sales"/>
          <x15:modelTable id="Drugs" name="Drugs" connection="WorksheetConnection_solution merged.xlsx!Drugs"/>
          <x15:modelTable id="Customers" name="Customers" connection="WorksheetConnection_solution merged.xlsx!Customers"/>
          <x15:modelTable id="Range" name="Range" connection="WorksheetConnection_Sales!$A:$G"/>
          <x15:modelTable id="Range 1" name="Range 1" connection="WorksheetConnection_Sales!$A$2:$G$41"/>
        </x15:modelTables>
        <x15:modelRelationships>
          <x15:modelRelationship fromTable="Range" fromColumn="SalesID" toTable="Sales" toColumn="SalesID"/>
          <x15:modelRelationship fromTable="Sales" fromColumn="DrugID" toTable="Drugs" toColumn="DrugID"/>
          <x15:modelRelationship fromTable="Sales" fromColumn="CustomerID" toTable="Customers" toColumn="Custom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SaleDate" columnId="SaleDate">
                <x16:calculatedTimeColumn columnName="SaleDate (Month Index)" columnId="SaleDate (Month Index)" contentType="monthsindex" isSelected="1"/>
                <x16:calculatedTimeColumn columnName="SaleDate (Month)" columnId="Sale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2" i="4"/>
  <c r="I3" i="3"/>
  <c r="I4" i="3"/>
  <c r="I5" i="3"/>
  <c r="I6" i="3"/>
  <c r="I7" i="3"/>
  <c r="I11" i="3"/>
  <c r="I12" i="3"/>
  <c r="I13" i="3"/>
  <c r="I14" i="3"/>
  <c r="I2" i="3"/>
  <c r="I8" i="3"/>
  <c r="I9" i="3"/>
  <c r="I10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B4913E-C63D-487C-98B8-5E79F24EE07B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791EF957-5FEB-479B-B810-267EFE04BAE9}" keepAlive="1" name="Query - Drugs" description="Connection to the 'Drugs' query in the workbook." type="5" refreshedVersion="8" background="1" saveData="1">
    <dbPr connection="Provider=Microsoft.Mashup.OleDb.1;Data Source=$Workbook$;Location=Drugs;Extended Properties=&quot;&quot;" command="SELECT * FROM [Drugs]"/>
  </connection>
  <connection id="3" xr16:uid="{7F23215A-08FD-4ED5-B437-B288936F8692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4" xr16:uid="{19020405-53AA-42E9-BE33-D51A98B32F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B0E26808-DDE8-4050-9761-404CD726330E}" name="WorksheetConnection_Sales!$A$2:$G$4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alesA2G411"/>
        </x15:connection>
      </ext>
    </extLst>
  </connection>
  <connection id="6" xr16:uid="{8BF8407A-1DF1-4ECE-940F-BA70B3274860}" name="WorksheetConnection_Sales!$A:$G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AG1"/>
        </x15:connection>
      </ext>
    </extLst>
  </connection>
  <connection id="7" xr16:uid="{91B25559-4FC3-49BA-AE8D-6C9BFF55C70E}" name="WorksheetConnection_solution merged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solutionmerged.xlsxCustomers1"/>
        </x15:connection>
      </ext>
    </extLst>
  </connection>
  <connection id="8" xr16:uid="{C9DCD0AC-C7B4-4BA9-9364-1EB3BD2790FB}" name="WorksheetConnection_solution merged.xlsx!Drugs" type="102" refreshedVersion="8" minRefreshableVersion="5">
    <extLst>
      <ext xmlns:x15="http://schemas.microsoft.com/office/spreadsheetml/2010/11/main" uri="{DE250136-89BD-433C-8126-D09CA5730AF9}">
        <x15:connection id="Drugs">
          <x15:rangePr sourceName="_xlcn.WorksheetConnection_solutionmerged.xlsxDrugs1"/>
        </x15:connection>
      </ext>
    </extLst>
  </connection>
  <connection id="9" xr16:uid="{25C63832-86EA-4FC0-B2DC-9C931364A71E}" name="WorksheetConnection_solution merged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solutionmerged.xlsxSales1"/>
        </x15:connection>
      </ext>
    </extLst>
  </connection>
</connections>
</file>

<file path=xl/sharedStrings.xml><?xml version="1.0" encoding="utf-8"?>
<sst xmlns="http://schemas.openxmlformats.org/spreadsheetml/2006/main" count="617" uniqueCount="308">
  <si>
    <t>CustomerID</t>
  </si>
  <si>
    <t>CustomerName</t>
  </si>
  <si>
    <t>CustomerType</t>
  </si>
  <si>
    <t>City</t>
  </si>
  <si>
    <t>JoinDate</t>
  </si>
  <si>
    <t>C001</t>
  </si>
  <si>
    <t>Medex Hospital</t>
  </si>
  <si>
    <t>Pharmacy</t>
  </si>
  <si>
    <t>Abu Dhabi</t>
  </si>
  <si>
    <t>C002</t>
  </si>
  <si>
    <t>Yateem Hospital</t>
  </si>
  <si>
    <t>Hospital</t>
  </si>
  <si>
    <t>C003</t>
  </si>
  <si>
    <t>Seha Hospital</t>
  </si>
  <si>
    <t>Muscat</t>
  </si>
  <si>
    <t>C004</t>
  </si>
  <si>
    <t>Jupiter Hospital</t>
  </si>
  <si>
    <t>Riyadh</t>
  </si>
  <si>
    <t>C005</t>
  </si>
  <si>
    <t>Aster Hospital</t>
  </si>
  <si>
    <t>C006</t>
  </si>
  <si>
    <t>Reyada Hospital</t>
  </si>
  <si>
    <t>C007</t>
  </si>
  <si>
    <t>Canadian Hospital</t>
  </si>
  <si>
    <t>C008</t>
  </si>
  <si>
    <t>C009</t>
  </si>
  <si>
    <t>Life Care Hospital</t>
  </si>
  <si>
    <t>Dubai</t>
  </si>
  <si>
    <t>C010</t>
  </si>
  <si>
    <t>HealthPlus Pharmacy</t>
  </si>
  <si>
    <t>C011</t>
  </si>
  <si>
    <t>Zulekha Pharmacy</t>
  </si>
  <si>
    <t>C012</t>
  </si>
  <si>
    <t>C013</t>
  </si>
  <si>
    <t>NMC Pharmacy</t>
  </si>
  <si>
    <t>C014</t>
  </si>
  <si>
    <t>Al Noor Pharmacy</t>
  </si>
  <si>
    <t>Doha</t>
  </si>
  <si>
    <t>C015</t>
  </si>
  <si>
    <t>Zulekha Hospital</t>
  </si>
  <si>
    <t>C016</t>
  </si>
  <si>
    <t>C017</t>
  </si>
  <si>
    <t>Hamad Pharmacy</t>
  </si>
  <si>
    <t>C018</t>
  </si>
  <si>
    <t>Al Noor Hospital</t>
  </si>
  <si>
    <t>C019</t>
  </si>
  <si>
    <t>Alchemist Hospital</t>
  </si>
  <si>
    <t>C020</t>
  </si>
  <si>
    <t>Starcare Pharmacy</t>
  </si>
  <si>
    <t>C021</t>
  </si>
  <si>
    <t>Yateem Pharmacy</t>
  </si>
  <si>
    <t>C022</t>
  </si>
  <si>
    <t>C023</t>
  </si>
  <si>
    <t>Aster Pharmacy</t>
  </si>
  <si>
    <t>C024</t>
  </si>
  <si>
    <t>HealthPlus Hospital</t>
  </si>
  <si>
    <t>C025</t>
  </si>
  <si>
    <t>C026</t>
  </si>
  <si>
    <t>Prime Hospital</t>
  </si>
  <si>
    <t>C027</t>
  </si>
  <si>
    <t>C028</t>
  </si>
  <si>
    <t>Hamad Hospital</t>
  </si>
  <si>
    <t>C029</t>
  </si>
  <si>
    <t>NMC Hospital</t>
  </si>
  <si>
    <t>C030</t>
  </si>
  <si>
    <t>Alchemist Pharmacy</t>
  </si>
  <si>
    <t>C031</t>
  </si>
  <si>
    <t>C032</t>
  </si>
  <si>
    <t>Apollo Pharmacy</t>
  </si>
  <si>
    <t>C033</t>
  </si>
  <si>
    <t>C034</t>
  </si>
  <si>
    <t>C035</t>
  </si>
  <si>
    <t>C036</t>
  </si>
  <si>
    <t>C037</t>
  </si>
  <si>
    <t>King Faisal Pharmacy</t>
  </si>
  <si>
    <t>C038</t>
  </si>
  <si>
    <t>C039</t>
  </si>
  <si>
    <t>Life Care Pharmacy</t>
  </si>
  <si>
    <t>C040</t>
  </si>
  <si>
    <t>C041</t>
  </si>
  <si>
    <t>C042</t>
  </si>
  <si>
    <t>C043</t>
  </si>
  <si>
    <t>C044</t>
  </si>
  <si>
    <t>C045</t>
  </si>
  <si>
    <t>C046</t>
  </si>
  <si>
    <t>Wellness Pharmacy</t>
  </si>
  <si>
    <t>C047</t>
  </si>
  <si>
    <t>C048</t>
  </si>
  <si>
    <t>Modern Pharmacy</t>
  </si>
  <si>
    <t>C049</t>
  </si>
  <si>
    <t>C050</t>
  </si>
  <si>
    <t>C051</t>
  </si>
  <si>
    <t>C052</t>
  </si>
  <si>
    <t>Apollo Hospital</t>
  </si>
  <si>
    <t>C053</t>
  </si>
  <si>
    <t>C054</t>
  </si>
  <si>
    <t>C055</t>
  </si>
  <si>
    <t>C056</t>
  </si>
  <si>
    <t>Prime Pharmacy</t>
  </si>
  <si>
    <t>C057</t>
  </si>
  <si>
    <t>C058</t>
  </si>
  <si>
    <t>King Faisal Hospital</t>
  </si>
  <si>
    <t>C059</t>
  </si>
  <si>
    <t>C060</t>
  </si>
  <si>
    <t>DrugID</t>
  </si>
  <si>
    <t>DrugName</t>
  </si>
  <si>
    <t>Standardized DrugName</t>
  </si>
  <si>
    <t>Category</t>
  </si>
  <si>
    <t>UnitPrice</t>
  </si>
  <si>
    <t>CostPrice</t>
  </si>
  <si>
    <t>ShelfLifeMonths</t>
  </si>
  <si>
    <t>D001</t>
  </si>
  <si>
    <t>Paracetamol 500mg</t>
  </si>
  <si>
    <t>Paracetamol 500Mg</t>
  </si>
  <si>
    <t>Analgesic</t>
  </si>
  <si>
    <t>D002</t>
  </si>
  <si>
    <t>Ibuprofen 200mg</t>
  </si>
  <si>
    <t>Ibuprofen 200Mg</t>
  </si>
  <si>
    <t>D003</t>
  </si>
  <si>
    <t>Amoxicillin 250mg</t>
  </si>
  <si>
    <t>Amoxicillin 250Mg</t>
  </si>
  <si>
    <t>Antibiotic</t>
  </si>
  <si>
    <t>D004</t>
  </si>
  <si>
    <t>Ciprofloxacin 500mg</t>
  </si>
  <si>
    <t>Ciprofloxacin 500Mg</t>
  </si>
  <si>
    <t>D005</t>
  </si>
  <si>
    <t>Azithromycin 250mg</t>
  </si>
  <si>
    <t>Azithromycin 250Mg</t>
  </si>
  <si>
    <t>D006</t>
  </si>
  <si>
    <t>Vitamin C 500mg</t>
  </si>
  <si>
    <t>Vitamin C 500Mg</t>
  </si>
  <si>
    <t>Supplement</t>
  </si>
  <si>
    <t>D007</t>
  </si>
  <si>
    <t>Vitamin D3 1000IU</t>
  </si>
  <si>
    <t>Vitamin D3 1000Iu</t>
  </si>
  <si>
    <t>D008</t>
  </si>
  <si>
    <t>Pantoprazole 40mg</t>
  </si>
  <si>
    <t>Pantoprazole 40Mg</t>
  </si>
  <si>
    <t>Gastro</t>
  </si>
  <si>
    <t>D009</t>
  </si>
  <si>
    <t>Omeprazole 20mg</t>
  </si>
  <si>
    <t>Omeprazole 20Mg</t>
  </si>
  <si>
    <t>D010</t>
  </si>
  <si>
    <t>ORS Pack</t>
  </si>
  <si>
    <t>Ors Pack</t>
  </si>
  <si>
    <t>General</t>
  </si>
  <si>
    <t>D011</t>
  </si>
  <si>
    <t>Cetirizine 10mg</t>
  </si>
  <si>
    <t>Cetirizine 10Mg</t>
  </si>
  <si>
    <t>Allergy</t>
  </si>
  <si>
    <t>D012</t>
  </si>
  <si>
    <t>Loratadine 10mg</t>
  </si>
  <si>
    <t>Loratadine 10Mg</t>
  </si>
  <si>
    <t>D013</t>
  </si>
  <si>
    <t>Metformin 500mg</t>
  </si>
  <si>
    <t>Metformin 500Mg</t>
  </si>
  <si>
    <t>Diabetes</t>
  </si>
  <si>
    <t>D014</t>
  </si>
  <si>
    <t>Gliclazide 80mg</t>
  </si>
  <si>
    <t>Gliclazide 80Mg</t>
  </si>
  <si>
    <t>D015</t>
  </si>
  <si>
    <t>Insulin Regular</t>
  </si>
  <si>
    <t>D016</t>
  </si>
  <si>
    <t>Amlodipine 5mg</t>
  </si>
  <si>
    <t>Amlodipine 5Mg</t>
  </si>
  <si>
    <t>Cardiac</t>
  </si>
  <si>
    <t>D017</t>
  </si>
  <si>
    <t>Atorvastatin 20mg</t>
  </si>
  <si>
    <t>Atorvastatin 20Mg</t>
  </si>
  <si>
    <t>D018</t>
  </si>
  <si>
    <t>Losartan 50mg</t>
  </si>
  <si>
    <t>Losartan 50Mg</t>
  </si>
  <si>
    <t>D019</t>
  </si>
  <si>
    <t>Zinc Sulphate</t>
  </si>
  <si>
    <t>D020</t>
  </si>
  <si>
    <t>ORS Electrolyte</t>
  </si>
  <si>
    <t>Ors Electrolyte</t>
  </si>
  <si>
    <t>D021</t>
  </si>
  <si>
    <t>Vitamin C 500mg 17</t>
  </si>
  <si>
    <t>Vitamin C 500Mg 17</t>
  </si>
  <si>
    <t>D022</t>
  </si>
  <si>
    <t>Vitamin C 500mg 17 59</t>
  </si>
  <si>
    <t>Vitamin C 500Mg 17 59</t>
  </si>
  <si>
    <t>D023</t>
  </si>
  <si>
    <t>Pantoprazole 40mg 22</t>
  </si>
  <si>
    <t>Pantoprazole 40Mg 22</t>
  </si>
  <si>
    <t>D024</t>
  </si>
  <si>
    <t>Ciprofloxacin 500mg 64</t>
  </si>
  <si>
    <t>Ciprofloxacin 500Mg 64</t>
  </si>
  <si>
    <t>D025</t>
  </si>
  <si>
    <t>Gliclazide 80mg 33</t>
  </si>
  <si>
    <t>Gliclazide 80Mg 33</t>
  </si>
  <si>
    <t>D026</t>
  </si>
  <si>
    <t>Cetirizine 10mg 38</t>
  </si>
  <si>
    <t>Cetirizine 10Mg 38</t>
  </si>
  <si>
    <t>D027</t>
  </si>
  <si>
    <t>Ciprofloxacin 500mg 86</t>
  </si>
  <si>
    <t>Ciprofloxacin 500Mg 86</t>
  </si>
  <si>
    <t>D028</t>
  </si>
  <si>
    <t>Ciprofloxacin 500mg 24</t>
  </si>
  <si>
    <t>Ciprofloxacin 500Mg 24</t>
  </si>
  <si>
    <t>D029</t>
  </si>
  <si>
    <t>Vitamin D3 1000IU 52</t>
  </si>
  <si>
    <t>Vitamin D3 1000Iu 52</t>
  </si>
  <si>
    <t>D030</t>
  </si>
  <si>
    <t>Vitamin D3 1000IU 52 14</t>
  </si>
  <si>
    <t>Vitamin D3 1000Iu 52 14</t>
  </si>
  <si>
    <t>D031</t>
  </si>
  <si>
    <t>Vitamin C 500mg 99</t>
  </si>
  <si>
    <t>Vitamin C 500Mg 99</t>
  </si>
  <si>
    <t>D032</t>
  </si>
  <si>
    <t>Vitamin D3 1000IU 52 9</t>
  </si>
  <si>
    <t>Vitamin D3 1000Iu 52 9</t>
  </si>
  <si>
    <t>D033</t>
  </si>
  <si>
    <t>Vitamin D3 1000IU 52 14 24</t>
  </si>
  <si>
    <t>Vitamin D3 1000Iu 52 14 24</t>
  </si>
  <si>
    <t>D034</t>
  </si>
  <si>
    <t>Ibuprofen 200mg 40</t>
  </si>
  <si>
    <t>Ibuprofen 200Mg 40</t>
  </si>
  <si>
    <t>D035</t>
  </si>
  <si>
    <t>Gliclazide 80mg 33 46</t>
  </si>
  <si>
    <t>Gliclazide 80Mg 33 46</t>
  </si>
  <si>
    <t>D036</t>
  </si>
  <si>
    <t>Ibuprofen 200mg 40 27</t>
  </si>
  <si>
    <t>Ibuprofen 200Mg 40 27</t>
  </si>
  <si>
    <t>D037</t>
  </si>
  <si>
    <t>Vitamin C 500mg 99 46</t>
  </si>
  <si>
    <t>Vitamin C 500Mg 99 46</t>
  </si>
  <si>
    <t>D038</t>
  </si>
  <si>
    <t>Losartan 50mg 50</t>
  </si>
  <si>
    <t>Losartan 50Mg 50</t>
  </si>
  <si>
    <t>D039</t>
  </si>
  <si>
    <t>Losartan 50mg 86</t>
  </si>
  <si>
    <t>Losartan 50Mg 86</t>
  </si>
  <si>
    <t>D040</t>
  </si>
  <si>
    <t>Amoxicillin 250mg 18</t>
  </si>
  <si>
    <t>Amoxicillin 250Mg 18</t>
  </si>
  <si>
    <t>SalesID</t>
  </si>
  <si>
    <t>Quantity</t>
  </si>
  <si>
    <t>SaleDate</t>
  </si>
  <si>
    <t>Revenue</t>
  </si>
  <si>
    <t>Profit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</si>
  <si>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</si>
  <si>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</si>
  <si>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</si>
  <si>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</si>
  <si>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</si>
  <si>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</si>
  <si>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</si>
  <si>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</si>
  <si>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</si>
  <si>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</si>
  <si>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</si>
  <si>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</si>
  <si>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</si>
  <si>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</si>
  <si>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</si>
  <si>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</si>
  <si>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</si>
  <si>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</si>
  <si>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</si>
  <si>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</si>
  <si>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</si>
  <si>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</si>
  <si>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</si>
  <si>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</si>
  <si>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</si>
  <si>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</si>
  <si>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</si>
  <si>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</si>
  <si>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</si>
  <si>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</si>
  <si>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</si>
  <si>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</si>
  <si>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</si>
  <si>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</si>
  <si>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</si>
  <si>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</si>
  <si>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</si>
  <si>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</si>
  <si>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</si>
  <si>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</si>
  <si>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Grand Total</t>
  </si>
  <si>
    <t>Sum of Quantity</t>
  </si>
  <si>
    <t>Drug Demand by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</si>
  <si>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</si>
  <si>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</si>
  <si>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</si>
  <si>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</si>
  <si>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</si>
  <si>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</si>
  <si>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</si>
  <si>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</si>
  <si>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</si>
  <si>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</si>
  <si>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</si>
  <si>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</si>
  <si>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Drug Sale</t>
  </si>
  <si>
    <t>Top 10 Customers</t>
  </si>
  <si>
    <t>SalesMonth</t>
  </si>
  <si>
    <t>Distinct Count of CustomerName</t>
  </si>
  <si>
    <t>SaleDate (Month)</t>
  </si>
  <si>
    <t>Sum of Revenue</t>
  </si>
  <si>
    <t>Category wise sales</t>
  </si>
  <si>
    <t>Customer type distribution</t>
  </si>
  <si>
    <t>Top 10 Drugs</t>
  </si>
  <si>
    <t>ManufactureDate</t>
  </si>
  <si>
    <t>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</si>
</sst>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wrapText="1" shrinkToFit="1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&quot;$&quot;#,##0.00"/>
      <alignment horizontal="right" vertical="bottom" textRotation="0" wrapText="0" indent="0" justifyLastLine="0" shrinkToFit="0" readingOrder="0"/>
      <protection locked="1" hidden="0"/>
    </dxf>
    <dxf>
      <numFmt numFmtId="164" formatCode="&quot;$&quot;#,##0.00"/>
      <alignment horizontal="left" vertical="bottom" textRotation="0" wrapText="0" indent="0" justifyLastLine="0" shrinkToFit="0" readingOrder="0"/>
    </dxf>
    <dxf>
      <numFmt numFmtId="164" formatCode="&quot;$&quot;#,##0.00"/>
      <alignment horizontal="left" vertical="bottom" textRotation="0" wrapText="0" indent="0" justifyLastLine="0" shrinkToFit="0" readingOrder="0"/>
      <protection locked="1" hidden="0"/>
    </dxf>
    <dxf>
      <numFmt numFmtId="20" formatCode="d\-mmm\-yy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shrinkToFit="1"/>
    </dxf>
    <dxf>
      <numFmt numFmtId="19" formatCode="m/d/yyyy"/>
    </dxf>
    <dxf>
      <numFmt numFmtId="19" formatCode="m/d/yyyy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FF0000"/>
                </a:solidFill>
              </a:rPr>
              <a:t>Monthly Demand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44940215806363E-2"/>
          <c:y val="0.16838547587968616"/>
          <c:w val="0.8809104695246428"/>
          <c:h val="0.65923056409392689"/>
        </c:manualLayout>
      </c:layout>
      <c:lineChart>
        <c:grouping val="standard"/>
        <c:varyColors val="0"/>
        <c:ser>
          <c:idx val="0"/>
          <c:order val="0"/>
          <c:tx>
            <c:strRef>
              <c:f>Sales!$D$1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Sales!$I$2:$I$41</c:f>
              <c:strCache>
                <c:ptCount val="40"/>
                <c:pt idx="0">
                  <c:v>May</c:v>
                </c:pt>
                <c:pt idx="1">
                  <c:v>May</c:v>
                </c:pt>
                <c:pt idx="2">
                  <c:v>Nov</c:v>
                </c:pt>
                <c:pt idx="3">
                  <c:v>Jul</c:v>
                </c:pt>
                <c:pt idx="4">
                  <c:v>Nov</c:v>
                </c:pt>
                <c:pt idx="5">
                  <c:v>Feb</c:v>
                </c:pt>
                <c:pt idx="6">
                  <c:v>Apr</c:v>
                </c:pt>
                <c:pt idx="7">
                  <c:v>Jun</c:v>
                </c:pt>
                <c:pt idx="8">
                  <c:v>Dec</c:v>
                </c:pt>
                <c:pt idx="9">
                  <c:v>May</c:v>
                </c:pt>
                <c:pt idx="10">
                  <c:v>Apr</c:v>
                </c:pt>
                <c:pt idx="11">
                  <c:v>Jun</c:v>
                </c:pt>
                <c:pt idx="12">
                  <c:v>Nov</c:v>
                </c:pt>
                <c:pt idx="13">
                  <c:v>Mar</c:v>
                </c:pt>
                <c:pt idx="14">
                  <c:v>Jun</c:v>
                </c:pt>
                <c:pt idx="15">
                  <c:v>Oct</c:v>
                </c:pt>
                <c:pt idx="16">
                  <c:v>Jan</c:v>
                </c:pt>
                <c:pt idx="17">
                  <c:v>Aug</c:v>
                </c:pt>
                <c:pt idx="18">
                  <c:v>May</c:v>
                </c:pt>
                <c:pt idx="19">
                  <c:v>Nov</c:v>
                </c:pt>
                <c:pt idx="20">
                  <c:v>Oct</c:v>
                </c:pt>
                <c:pt idx="21">
                  <c:v>Mar</c:v>
                </c:pt>
                <c:pt idx="22">
                  <c:v>Mar</c:v>
                </c:pt>
                <c:pt idx="23">
                  <c:v>Apr</c:v>
                </c:pt>
                <c:pt idx="24">
                  <c:v>Aug</c:v>
                </c:pt>
                <c:pt idx="25">
                  <c:v>May</c:v>
                </c:pt>
                <c:pt idx="26">
                  <c:v>Jun</c:v>
                </c:pt>
                <c:pt idx="27">
                  <c:v>Jun</c:v>
                </c:pt>
                <c:pt idx="28">
                  <c:v>Sep</c:v>
                </c:pt>
                <c:pt idx="29">
                  <c:v>May</c:v>
                </c:pt>
                <c:pt idx="30">
                  <c:v>Oct</c:v>
                </c:pt>
                <c:pt idx="31">
                  <c:v>Dec</c:v>
                </c:pt>
                <c:pt idx="32">
                  <c:v>May</c:v>
                </c:pt>
                <c:pt idx="33">
                  <c:v>Jul</c:v>
                </c:pt>
                <c:pt idx="34">
                  <c:v>Jul</c:v>
                </c:pt>
                <c:pt idx="35">
                  <c:v>May</c:v>
                </c:pt>
                <c:pt idx="36">
                  <c:v>Mar</c:v>
                </c:pt>
                <c:pt idx="37">
                  <c:v>May</c:v>
                </c:pt>
                <c:pt idx="38">
                  <c:v>May</c:v>
                </c:pt>
                <c:pt idx="39">
                  <c:v>Mar</c:v>
                </c:pt>
              </c:strCache>
            </c:strRef>
          </c:cat>
          <c:val>
            <c:numRef>
              <c:f>Sales!$D$2:$D$41</c:f>
              <c:numCache>
                <c:formatCode>General</c:formatCode>
                <c:ptCount val="40"/>
                <c:pt idx="0">
                  <c:v>239</c:v>
                </c:pt>
                <c:pt idx="1">
                  <c:v>463</c:v>
                </c:pt>
                <c:pt idx="2">
                  <c:v>404</c:v>
                </c:pt>
                <c:pt idx="3">
                  <c:v>57</c:v>
                </c:pt>
                <c:pt idx="4">
                  <c:v>84</c:v>
                </c:pt>
                <c:pt idx="5">
                  <c:v>110</c:v>
                </c:pt>
                <c:pt idx="6">
                  <c:v>249</c:v>
                </c:pt>
                <c:pt idx="7">
                  <c:v>211</c:v>
                </c:pt>
                <c:pt idx="8">
                  <c:v>485</c:v>
                </c:pt>
                <c:pt idx="9">
                  <c:v>304</c:v>
                </c:pt>
                <c:pt idx="10">
                  <c:v>126</c:v>
                </c:pt>
                <c:pt idx="11">
                  <c:v>117</c:v>
                </c:pt>
                <c:pt idx="12">
                  <c:v>303</c:v>
                </c:pt>
                <c:pt idx="13">
                  <c:v>395</c:v>
                </c:pt>
                <c:pt idx="14">
                  <c:v>236</c:v>
                </c:pt>
                <c:pt idx="15">
                  <c:v>140</c:v>
                </c:pt>
                <c:pt idx="16">
                  <c:v>224</c:v>
                </c:pt>
                <c:pt idx="17">
                  <c:v>117</c:v>
                </c:pt>
                <c:pt idx="18">
                  <c:v>166</c:v>
                </c:pt>
                <c:pt idx="19">
                  <c:v>104</c:v>
                </c:pt>
                <c:pt idx="20">
                  <c:v>360</c:v>
                </c:pt>
                <c:pt idx="21">
                  <c:v>60</c:v>
                </c:pt>
                <c:pt idx="22">
                  <c:v>222</c:v>
                </c:pt>
                <c:pt idx="23">
                  <c:v>245</c:v>
                </c:pt>
                <c:pt idx="24">
                  <c:v>129</c:v>
                </c:pt>
                <c:pt idx="25">
                  <c:v>345</c:v>
                </c:pt>
                <c:pt idx="26">
                  <c:v>398</c:v>
                </c:pt>
                <c:pt idx="27">
                  <c:v>434</c:v>
                </c:pt>
                <c:pt idx="28">
                  <c:v>56</c:v>
                </c:pt>
                <c:pt idx="29">
                  <c:v>54</c:v>
                </c:pt>
                <c:pt idx="30">
                  <c:v>158</c:v>
                </c:pt>
                <c:pt idx="31">
                  <c:v>230</c:v>
                </c:pt>
                <c:pt idx="32">
                  <c:v>251</c:v>
                </c:pt>
                <c:pt idx="33">
                  <c:v>85</c:v>
                </c:pt>
                <c:pt idx="34">
                  <c:v>237</c:v>
                </c:pt>
                <c:pt idx="35">
                  <c:v>418</c:v>
                </c:pt>
                <c:pt idx="36">
                  <c:v>493</c:v>
                </c:pt>
                <c:pt idx="37">
                  <c:v>392</c:v>
                </c:pt>
                <c:pt idx="38">
                  <c:v>237</c:v>
                </c:pt>
                <c:pt idx="39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9-419A-AD40-2742F225D3C8}"/>
            </c:ext>
          </c:extLst>
        </c:ser>
        <c:ser>
          <c:idx val="1"/>
          <c:order val="1"/>
          <c:tx>
            <c:strRef>
              <c:f>Sales!$I$1</c:f>
              <c:strCache>
                <c:ptCount val="1"/>
                <c:pt idx="0">
                  <c:v>SalesMonth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Sales!$I$2:$I$41</c:f>
              <c:strCache>
                <c:ptCount val="40"/>
                <c:pt idx="0">
                  <c:v>May</c:v>
                </c:pt>
                <c:pt idx="1">
                  <c:v>May</c:v>
                </c:pt>
                <c:pt idx="2">
                  <c:v>Nov</c:v>
                </c:pt>
                <c:pt idx="3">
                  <c:v>Jul</c:v>
                </c:pt>
                <c:pt idx="4">
                  <c:v>Nov</c:v>
                </c:pt>
                <c:pt idx="5">
                  <c:v>Feb</c:v>
                </c:pt>
                <c:pt idx="6">
                  <c:v>Apr</c:v>
                </c:pt>
                <c:pt idx="7">
                  <c:v>Jun</c:v>
                </c:pt>
                <c:pt idx="8">
                  <c:v>Dec</c:v>
                </c:pt>
                <c:pt idx="9">
                  <c:v>May</c:v>
                </c:pt>
                <c:pt idx="10">
                  <c:v>Apr</c:v>
                </c:pt>
                <c:pt idx="11">
                  <c:v>Jun</c:v>
                </c:pt>
                <c:pt idx="12">
                  <c:v>Nov</c:v>
                </c:pt>
                <c:pt idx="13">
                  <c:v>Mar</c:v>
                </c:pt>
                <c:pt idx="14">
                  <c:v>Jun</c:v>
                </c:pt>
                <c:pt idx="15">
                  <c:v>Oct</c:v>
                </c:pt>
                <c:pt idx="16">
                  <c:v>Jan</c:v>
                </c:pt>
                <c:pt idx="17">
                  <c:v>Aug</c:v>
                </c:pt>
                <c:pt idx="18">
                  <c:v>May</c:v>
                </c:pt>
                <c:pt idx="19">
                  <c:v>Nov</c:v>
                </c:pt>
                <c:pt idx="20">
                  <c:v>Oct</c:v>
                </c:pt>
                <c:pt idx="21">
                  <c:v>Mar</c:v>
                </c:pt>
                <c:pt idx="22">
                  <c:v>Mar</c:v>
                </c:pt>
                <c:pt idx="23">
                  <c:v>Apr</c:v>
                </c:pt>
                <c:pt idx="24">
                  <c:v>Aug</c:v>
                </c:pt>
                <c:pt idx="25">
                  <c:v>May</c:v>
                </c:pt>
                <c:pt idx="26">
                  <c:v>Jun</c:v>
                </c:pt>
                <c:pt idx="27">
                  <c:v>Jun</c:v>
                </c:pt>
                <c:pt idx="28">
                  <c:v>Sep</c:v>
                </c:pt>
                <c:pt idx="29">
                  <c:v>May</c:v>
                </c:pt>
                <c:pt idx="30">
                  <c:v>Oct</c:v>
                </c:pt>
                <c:pt idx="31">
                  <c:v>Dec</c:v>
                </c:pt>
                <c:pt idx="32">
                  <c:v>May</c:v>
                </c:pt>
                <c:pt idx="33">
                  <c:v>Jul</c:v>
                </c:pt>
                <c:pt idx="34">
                  <c:v>Jul</c:v>
                </c:pt>
                <c:pt idx="35">
                  <c:v>May</c:v>
                </c:pt>
                <c:pt idx="36">
                  <c:v>Mar</c:v>
                </c:pt>
                <c:pt idx="37">
                  <c:v>May</c:v>
                </c:pt>
                <c:pt idx="38">
                  <c:v>May</c:v>
                </c:pt>
                <c:pt idx="39">
                  <c:v>Mar</c:v>
                </c:pt>
              </c:strCache>
            </c:strRef>
          </c:cat>
          <c:val>
            <c:numRef>
              <c:f>Sales!$I$2:$I$41</c:f>
              <c:numCache>
                <c:formatCode>m/d/yyyy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9-419A-AD40-2742F225D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580160"/>
        <c:axId val="918580640"/>
      </c:lineChart>
      <c:dateAx>
        <c:axId val="9185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80640"/>
        <c:crosses val="autoZero"/>
        <c:auto val="0"/>
        <c:lblOffset val="100"/>
        <c:baseTimeUnit val="days"/>
      </c:dateAx>
      <c:valAx>
        <c:axId val="91858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8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65850102070575"/>
          <c:y val="0.17379594930312858"/>
          <c:w val="0.50779410906969957"/>
          <c:h val="0.11319157297851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merged.xlsx]pivoting!PivotTable13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FF0000"/>
                </a:solidFill>
              </a:rPr>
              <a:t>Category-wise sales</a:t>
            </a:r>
          </a:p>
        </c:rich>
      </c:tx>
      <c:layout>
        <c:manualLayout>
          <c:xMode val="edge"/>
          <c:yMode val="edge"/>
          <c:x val="0.33721966310407164"/>
          <c:y val="4.4439680642013986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456314293231685"/>
          <c:y val="0.23758212041676607"/>
          <c:w val="0.5176918197725284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pivoting!$B$20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pivoting!$A$21:$A$29</c:f>
              <c:strCache>
                <c:ptCount val="8"/>
                <c:pt idx="0">
                  <c:v>Allergy</c:v>
                </c:pt>
                <c:pt idx="1">
                  <c:v>Analgesic</c:v>
                </c:pt>
                <c:pt idx="2">
                  <c:v>Antibiotic</c:v>
                </c:pt>
                <c:pt idx="3">
                  <c:v>Cardiac</c:v>
                </c:pt>
                <c:pt idx="4">
                  <c:v>Diabetes</c:v>
                </c:pt>
                <c:pt idx="5">
                  <c:v>Gastro</c:v>
                </c:pt>
                <c:pt idx="6">
                  <c:v>General</c:v>
                </c:pt>
                <c:pt idx="7">
                  <c:v>Supplement</c:v>
                </c:pt>
              </c:strCache>
            </c:strRef>
          </c:cat>
          <c:val>
            <c:numRef>
              <c:f>pivoting!$B$21:$B$29</c:f>
              <c:numCache>
                <c:formatCode>General</c:formatCode>
                <c:ptCount val="8"/>
                <c:pt idx="0">
                  <c:v>13263</c:v>
                </c:pt>
                <c:pt idx="1">
                  <c:v>28630</c:v>
                </c:pt>
                <c:pt idx="2">
                  <c:v>101487</c:v>
                </c:pt>
                <c:pt idx="3">
                  <c:v>22017</c:v>
                </c:pt>
                <c:pt idx="4">
                  <c:v>14626</c:v>
                </c:pt>
                <c:pt idx="5">
                  <c:v>32796</c:v>
                </c:pt>
                <c:pt idx="6">
                  <c:v>21600</c:v>
                </c:pt>
                <c:pt idx="7">
                  <c:v>47330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F-47AC-8214-EE898E5B10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20525503"/>
        <c:axId val="1320517343"/>
      </c:barChart>
      <c:catAx>
        <c:axId val="132052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17343"/>
        <c:crosses val="autoZero"/>
        <c:auto val="1"/>
        <c:lblAlgn val="ctr"/>
        <c:lblOffset val="100"/>
        <c:noMultiLvlLbl val="0"/>
      </c:catAx>
      <c:valAx>
        <c:axId val="13205173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2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merged.xlsx]pivoting!PivotTable18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>
                <a:solidFill>
                  <a:srgbClr val="FF0000"/>
                </a:solidFill>
              </a:rPr>
              <a:t>Customer type distribution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pivoting!$E$20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A3-4D1A-9B45-E0D207E251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A3-4D1A-9B45-E0D207E251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pivoting!$D$21:$D$23</c:f>
              <c:strCache>
                <c:ptCount val="2"/>
                <c:pt idx="0">
                  <c:v>Hospital</c:v>
                </c:pt>
                <c:pt idx="1">
                  <c:v>Pharmacy</c:v>
                </c:pt>
              </c:strCache>
            </c:strRef>
          </c:cat>
          <c:val>
            <c:numRef>
              <c:f>pivoting!$E$21:$E$23</c:f>
              <c:numCache>
                <c:formatCode>0.00%</c:formatCode>
                <c:ptCount val="2"/>
                <c:pt idx="0">
                  <c:v>0.59375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A3-4D1A-9B45-E0D207E251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merged.xlsx]pivoting!PivotTable19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FF0000"/>
                </a:solidFill>
              </a:rPr>
              <a:t>Top 10 Drugs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pivoting!$H$20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pivoting!$G$21:$G$31</c:f>
              <c:strCache>
                <c:ptCount val="10"/>
                <c:pt idx="0">
                  <c:v>Amoxicillin 250Mg 18</c:v>
                </c:pt>
                <c:pt idx="1">
                  <c:v>Azithromycin 250Mg</c:v>
                </c:pt>
                <c:pt idx="2">
                  <c:v>Ciprofloxacin 500Mg 86</c:v>
                </c:pt>
                <c:pt idx="3">
                  <c:v>Ibuprofen 200Mg 40 27</c:v>
                </c:pt>
                <c:pt idx="4">
                  <c:v>Ors Electrolyte</c:v>
                </c:pt>
                <c:pt idx="5">
                  <c:v>Pantoprazole 40Mg</c:v>
                </c:pt>
                <c:pt idx="6">
                  <c:v>Pantoprazole 40Mg 22</c:v>
                </c:pt>
                <c:pt idx="7">
                  <c:v>Vitamin D3 1000Iu</c:v>
                </c:pt>
                <c:pt idx="8">
                  <c:v>Vitamin D3 1000Iu 52 14</c:v>
                </c:pt>
                <c:pt idx="9">
                  <c:v>Zinc Sulphate</c:v>
                </c:pt>
              </c:strCache>
            </c:strRef>
          </c:cat>
          <c:val>
            <c:numRef>
              <c:f>pivoting!$H$21:$H$31</c:f>
              <c:numCache>
                <c:formatCode>General</c:formatCode>
                <c:ptCount val="10"/>
                <c:pt idx="0">
                  <c:v>14144</c:v>
                </c:pt>
                <c:pt idx="1">
                  <c:v>25436</c:v>
                </c:pt>
                <c:pt idx="2">
                  <c:v>51140</c:v>
                </c:pt>
                <c:pt idx="3">
                  <c:v>19900</c:v>
                </c:pt>
                <c:pt idx="4">
                  <c:v>21600</c:v>
                </c:pt>
                <c:pt idx="5">
                  <c:v>15240</c:v>
                </c:pt>
                <c:pt idx="6">
                  <c:v>17556</c:v>
                </c:pt>
                <c:pt idx="7">
                  <c:v>9006</c:v>
                </c:pt>
                <c:pt idx="8">
                  <c:v>10072</c:v>
                </c:pt>
                <c:pt idx="9">
                  <c:v>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F-4F4F-8A8D-CBD42EFD36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0476543"/>
        <c:axId val="1320477983"/>
      </c:barChart>
      <c:catAx>
        <c:axId val="132047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77983"/>
        <c:crosses val="autoZero"/>
        <c:auto val="1"/>
        <c:lblAlgn val="ctr"/>
        <c:lblOffset val="100"/>
        <c:noMultiLvlLbl val="0"/>
      </c:catAx>
      <c:valAx>
        <c:axId val="132047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7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0</xdr:row>
      <xdr:rowOff>161925</xdr:rowOff>
    </xdr:from>
    <xdr:to>
      <xdr:col>5</xdr:col>
      <xdr:colOff>381000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18A2D-6AD1-4CF1-8C24-9A0663AA2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0</xdr:row>
      <xdr:rowOff>190499</xdr:rowOff>
    </xdr:from>
    <xdr:to>
      <xdr:col>14</xdr:col>
      <xdr:colOff>0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FD864B-AAAA-4542-95A3-76D4D0548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18</xdr:row>
      <xdr:rowOff>9524</xdr:rowOff>
    </xdr:from>
    <xdr:to>
      <xdr:col>5</xdr:col>
      <xdr:colOff>342900</xdr:colOff>
      <xdr:row>30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402DA9-6D91-4AD7-9D35-85B38559D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17</xdr:row>
      <xdr:rowOff>152399</xdr:rowOff>
    </xdr:from>
    <xdr:to>
      <xdr:col>14</xdr:col>
      <xdr:colOff>0</xdr:colOff>
      <xdr:row>30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1A06EF-C202-46EB-A046-CD0D20D75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23.865406365738" backgroundQuery="1" createdVersion="8" refreshedVersion="8" minRefreshableVersion="3" recordCount="0" supportSubquery="1" supportAdvancedDrill="1" xr:uid="{A3EA2415-731D-4F2F-A216-88D8F7EE66F4}">
  <cacheSource type="external" connectionId="4"/>
  <cacheFields count="2">
    <cacheField name="[Sales].[SaleDate (Month)].[SaleDate (Month)]" caption="SaleDate (Month)" numFmtId="0" hierarchy="3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Revenue]" caption="Sum of Revenue" numFmtId="0" hierarchy="54" level="32767"/>
  </cacheFields>
  <cacheHierarchies count="5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CustomerType]" caption="CustomerType" attribute="1" defaultMemberUniqueName="[Customers].[CustomerType].[All]" allUniqueName="[Customers].[CustomerTyp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Drugs].[DrugID]" caption="DrugID" attribute="1" defaultMemberUniqueName="[Drugs].[DrugID].[All]" allUniqueName="[Drugs].[DrugID].[All]" dimensionUniqueName="[Drugs]" displayFolder="" count="0" memberValueDatatype="130" unbalanced="0"/>
    <cacheHierarchy uniqueName="[Drugs].[DrugName]" caption="DrugName" attribute="1" defaultMemberUniqueName="[Drugs].[DrugName].[All]" allUniqueName="[Drugs].[DrugName].[All]" dimensionUniqueName="[Drugs]" displayFolder="" count="0" memberValueDatatype="130" unbalanced="0"/>
    <cacheHierarchy uniqueName="[Drugs].[Standardized DrugName]" caption="Standardized DrugName" attribute="1" defaultMemberUniqueName="[Drugs].[Standardized DrugName].[All]" allUniqueName="[Drugs].[Standardized DrugName].[All]" dimensionUniqueName="[Drugs]" displayFolder="" count="0" memberValueDatatype="130" unbalanced="0"/>
    <cacheHierarchy uniqueName="[Drugs].[Category]" caption="Category" attribute="1" defaultMemberUniqueName="[Drugs].[Category].[All]" allUniqueName="[Drugs].[Category].[All]" dimensionUniqueName="[Drugs]" displayFolder="" count="0" memberValueDatatype="130" unbalanced="0"/>
    <cacheHierarchy uniqueName="[Drugs].[UnitPrice]" caption="UnitPrice" attribute="1" defaultMemberUniqueName="[Drugs].[UnitPrice].[All]" allUniqueName="[Drugs].[UnitPrice].[All]" dimensionUniqueName="[Drugs]" displayFolder="" count="0" memberValueDatatype="20" unbalanced="0"/>
    <cacheHierarchy uniqueName="[Drugs].[CostPrice]" caption="CostPrice" attribute="1" defaultMemberUniqueName="[Drugs].[CostPrice].[All]" allUniqueName="[Drugs].[CostPrice].[All]" dimensionUniqueName="[Drugs]" displayFolder="" count="0" memberValueDatatype="20" unbalanced="0"/>
    <cacheHierarchy uniqueName="[Drugs].[ShelfLifeMonths]" caption="ShelfLifeMonths" attribute="1" defaultMemberUniqueName="[Drugs].[ShelfLifeMonths].[All]" allUniqueName="[Drugs].[ShelfLifeMonths].[All]" dimensionUniqueName="[Drugs]" displayFolder="" count="0" memberValueDatatype="20" unbalanced="0"/>
    <cacheHierarchy uniqueName="[Range].[SalesID]" caption="SalesID" attribute="1" defaultMemberUniqueName="[Range].[SalesID].[All]" allUniqueName="[Range].[SalesID].[All]" dimensionUniqueName="[Range]" displayFolder="" count="0" memberValueDatatype="13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DrugID]" caption="DrugID" attribute="1" defaultMemberUniqueName="[Range].[DrugID].[All]" allUniqueName="[Range].[Drug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Date]" caption="SaleDate" attribute="1" time="1" defaultMemberUniqueName="[Range].[SaleDate].[All]" allUniqueName="[Range].[Sale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130" unbalanced="0"/>
    <cacheHierarchy uniqueName="[Range 1].[S001]" caption="S001" attribute="1" defaultMemberUniqueName="[Range 1].[S001].[All]" allUniqueName="[Range 1].[S001].[All]" dimensionUniqueName="[Range 1]" displayFolder="" count="0" memberValueDatatype="130" unbalanced="0"/>
    <cacheHierarchy uniqueName="[Range 1].[C025]" caption="C025" attribute="1" defaultMemberUniqueName="[Range 1].[C025].[All]" allUniqueName="[Range 1].[C025].[All]" dimensionUniqueName="[Range 1]" displayFolder="" count="0" memberValueDatatype="130" unbalanced="0"/>
    <cacheHierarchy uniqueName="[Range 1].[D005]" caption="D005" attribute="1" defaultMemberUniqueName="[Range 1].[D005].[All]" allUniqueName="[Range 1].[D005].[All]" dimensionUniqueName="[Range 1]" displayFolder="" count="0" memberValueDatatype="130" unbalanced="0"/>
    <cacheHierarchy uniqueName="[Range 1].[239]" caption="239" attribute="1" defaultMemberUniqueName="[Range 1].[239].[All]" allUniqueName="[Range 1].[239].[All]" dimensionUniqueName="[Range 1]" displayFolder="" count="0" memberValueDatatype="20" unbalanced="0"/>
    <cacheHierarchy uniqueName="[Range 1].[5/9/2023]" caption="5/9/2023" attribute="1" time="1" defaultMemberUniqueName="[Range 1].[5/9/2023].[All]" allUniqueName="[Range 1].[5/9/2023].[All]" dimensionUniqueName="[Range 1]" displayFolder="" count="0" memberValueDatatype="7" unbalanced="0"/>
    <cacheHierarchy uniqueName="[Range 1].[2868.00]" caption="2868.00" attribute="1" defaultMemberUniqueName="[Range 1].[2868.00].[All]" allUniqueName="[Range 1].[2868.00].[All]" dimensionUniqueName="[Range 1]" displayFolder="" count="0" memberValueDatatype="20" unbalanced="0"/>
    <cacheHierarchy uniqueName="[Range 1].[6.00]" caption="6.00" attribute="1" defaultMemberUniqueName="[Range 1].[6.00].[All]" allUniqueName="[Range 1].[6.00].[All]" dimensionUniqueName="[Range 1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DrugID]" caption="DrugID" attribute="1" defaultMemberUniqueName="[Sales].[DrugID].[All]" allUniqueName="[Sales].[Drug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Revenue]" caption="Revenue" attribute="1" defaultMemberUniqueName="[Sales].[Revenue].[All]" allUniqueName="[Sales].[Revenue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2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2" memberValueDatatype="130" unbalanced="0">
      <fieldsUsage count="2">
        <fieldUsage x="-1"/>
        <fieldUsage x="0"/>
      </fieldsUsage>
    </cacheHierarchy>
    <cacheHierarchy uniqueName="[Sales].[SalesMonth]" caption="SalesMonth" attribute="1" defaultMemberUniqueName="[Sales].[SalesMonth].[All]" allUniqueName="[Sales].[SalesMonth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Drugs]" caption="__XL_Count Drugs" measure="1" displayFolder="" measureGroup="Drugs" count="0" hidden="1"/>
    <cacheHierarchy uniqueName="[Measures].[__XL_Count Sales]" caption="__XL_Count Sales" measure="1" displayFolder="" measureGroup="Sales" count="0" hidden="1"/>
    <cacheHierarchy uniqueName="[Measures].[__XL_Count Range 1]" caption="__XL_Count Range 1" measure="1" displayFolder="" measureGroup="Range 1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venue]" caption="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venue 2]" caption="Count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868.00]" caption="Sum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2868.00]" caption="Count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Date]" caption="Count of SaleDate" measure="1" displayFolder="" measureGroup="Sa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Date (Month)]" caption="Count of SaleDate (Month)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Distinct Count of Revenue]" caption="Distinct 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Type]" caption="Count of CustomerType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Name]" caption="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Name]" caption="Distinct 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Customers" uniqueName="[Customers]" caption="Customers"/>
    <dimension name="Drugs" uniqueName="[Drugs]" caption="Drugs"/>
    <dimension measure="1" name="Measures" uniqueName="[Measures]" caption="Measures"/>
    <dimension name="Range" uniqueName="[Range]" caption="Range"/>
    <dimension name="Range 1" uniqueName="[Range 1]" caption="Range 1"/>
    <dimension name="Sales" uniqueName="[Sales]" caption="Sales"/>
  </dimensions>
  <measureGroups count="5">
    <measureGroup name="Customers" caption="Customers"/>
    <measureGroup name="Drugs" caption="Drugs"/>
    <measureGroup name="Range" caption="Range"/>
    <measureGroup name="Range 1" caption="Range 1"/>
    <measureGroup name="Sales" caption="Sales"/>
  </measureGroups>
  <maps count="10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4"/>
    <map measureGroup="4" dimension="0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23.865287152781" backgroundQuery="1" createdVersion="8" refreshedVersion="8" minRefreshableVersion="3" recordCount="0" supportSubquery="1" supportAdvancedDrill="1" xr:uid="{69DA0ED3-5779-46D2-95A6-D6284170F757}">
  <cacheSource type="external" connectionId="4"/>
  <cacheFields count="2">
    <cacheField name="[Measures].[Sum of Quantity]" caption="Sum of Quantity" numFmtId="0" hierarchy="42" level="32767"/>
    <cacheField name="[Drugs].[Category].[Category]" caption="Category" numFmtId="0" hierarchy="8" level="1">
      <sharedItems count="8">
        <s v="Allergy"/>
        <s v="Analgesic"/>
        <s v="Antibiotic"/>
        <s v="Cardiac"/>
        <s v="Diabetes"/>
        <s v="Gastro"/>
        <s v="General"/>
        <s v="Supplement"/>
      </sharedItems>
    </cacheField>
  </cacheFields>
  <cacheHierarchies count="5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CustomerType]" caption="CustomerType" attribute="1" defaultMemberUniqueName="[Customers].[CustomerType].[All]" allUniqueName="[Customers].[CustomerTyp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Drugs].[DrugID]" caption="DrugID" attribute="1" defaultMemberUniqueName="[Drugs].[DrugID].[All]" allUniqueName="[Drugs].[DrugID].[All]" dimensionUniqueName="[Drugs]" displayFolder="" count="0" memberValueDatatype="130" unbalanced="0"/>
    <cacheHierarchy uniqueName="[Drugs].[DrugName]" caption="DrugName" attribute="1" defaultMemberUniqueName="[Drugs].[DrugName].[All]" allUniqueName="[Drugs].[DrugName].[All]" dimensionUniqueName="[Drugs]" displayFolder="" count="0" memberValueDatatype="130" unbalanced="0"/>
    <cacheHierarchy uniqueName="[Drugs].[Standardized DrugName]" caption="Standardized DrugName" attribute="1" defaultMemberUniqueName="[Drugs].[Standardized DrugName].[All]" allUniqueName="[Drugs].[Standardized DrugName].[All]" dimensionUniqueName="[Drugs]" displayFolder="" count="0" memberValueDatatype="130" unbalanced="0"/>
    <cacheHierarchy uniqueName="[Drugs].[Category]" caption="Category" attribute="1" defaultMemberUniqueName="[Drugs].[Category].[All]" allUniqueName="[Drugs].[Category].[All]" dimensionUniqueName="[Drugs]" displayFolder="" count="2" memberValueDatatype="130" unbalanced="0">
      <fieldsUsage count="2">
        <fieldUsage x="-1"/>
        <fieldUsage x="1"/>
      </fieldsUsage>
    </cacheHierarchy>
    <cacheHierarchy uniqueName="[Drugs].[UnitPrice]" caption="UnitPrice" attribute="1" defaultMemberUniqueName="[Drugs].[UnitPrice].[All]" allUniqueName="[Drugs].[UnitPrice].[All]" dimensionUniqueName="[Drugs]" displayFolder="" count="0" memberValueDatatype="20" unbalanced="0"/>
    <cacheHierarchy uniqueName="[Drugs].[CostPrice]" caption="CostPrice" attribute="1" defaultMemberUniqueName="[Drugs].[CostPrice].[All]" allUniqueName="[Drugs].[CostPrice].[All]" dimensionUniqueName="[Drugs]" displayFolder="" count="0" memberValueDatatype="20" unbalanced="0"/>
    <cacheHierarchy uniqueName="[Drugs].[ShelfLifeMonths]" caption="ShelfLifeMonths" attribute="1" defaultMemberUniqueName="[Drugs].[ShelfLifeMonths].[All]" allUniqueName="[Drugs].[ShelfLifeMonths].[All]" dimensionUniqueName="[Drugs]" displayFolder="" count="0" memberValueDatatype="20" unbalanced="0"/>
    <cacheHierarchy uniqueName="[Range].[SalesID]" caption="SalesID" attribute="1" defaultMemberUniqueName="[Range].[SalesID].[All]" allUniqueName="[Range].[SalesID].[All]" dimensionUniqueName="[Range]" displayFolder="" count="0" memberValueDatatype="13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DrugID]" caption="DrugID" attribute="1" defaultMemberUniqueName="[Range].[DrugID].[All]" allUniqueName="[Range].[Drug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Date]" caption="SaleDate" attribute="1" time="1" defaultMemberUniqueName="[Range].[SaleDate].[All]" allUniqueName="[Range].[Sale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130" unbalanced="0"/>
    <cacheHierarchy uniqueName="[Range 1].[S001]" caption="S001" attribute="1" defaultMemberUniqueName="[Range 1].[S001].[All]" allUniqueName="[Range 1].[S001].[All]" dimensionUniqueName="[Range 1]" displayFolder="" count="0" memberValueDatatype="130" unbalanced="0"/>
    <cacheHierarchy uniqueName="[Range 1].[C025]" caption="C025" attribute="1" defaultMemberUniqueName="[Range 1].[C025].[All]" allUniqueName="[Range 1].[C025].[All]" dimensionUniqueName="[Range 1]" displayFolder="" count="0" memberValueDatatype="130" unbalanced="0"/>
    <cacheHierarchy uniqueName="[Range 1].[D005]" caption="D005" attribute="1" defaultMemberUniqueName="[Range 1].[D005].[All]" allUniqueName="[Range 1].[D005].[All]" dimensionUniqueName="[Range 1]" displayFolder="" count="0" memberValueDatatype="130" unbalanced="0"/>
    <cacheHierarchy uniqueName="[Range 1].[239]" caption="239" attribute="1" defaultMemberUniqueName="[Range 1].[239].[All]" allUniqueName="[Range 1].[239].[All]" dimensionUniqueName="[Range 1]" displayFolder="" count="0" memberValueDatatype="20" unbalanced="0"/>
    <cacheHierarchy uniqueName="[Range 1].[5/9/2023]" caption="5/9/2023" attribute="1" time="1" defaultMemberUniqueName="[Range 1].[5/9/2023].[All]" allUniqueName="[Range 1].[5/9/2023].[All]" dimensionUniqueName="[Range 1]" displayFolder="" count="0" memberValueDatatype="7" unbalanced="0"/>
    <cacheHierarchy uniqueName="[Range 1].[2868.00]" caption="2868.00" attribute="1" defaultMemberUniqueName="[Range 1].[2868.00].[All]" allUniqueName="[Range 1].[2868.00].[All]" dimensionUniqueName="[Range 1]" displayFolder="" count="0" memberValueDatatype="20" unbalanced="0"/>
    <cacheHierarchy uniqueName="[Range 1].[6.00]" caption="6.00" attribute="1" defaultMemberUniqueName="[Range 1].[6.00].[All]" allUniqueName="[Range 1].[6.00].[All]" dimensionUniqueName="[Range 1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DrugID]" caption="DrugID" attribute="1" defaultMemberUniqueName="[Sales].[DrugID].[All]" allUniqueName="[Sales].[Drug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Revenue]" caption="Revenue" attribute="1" defaultMemberUniqueName="[Sales].[Revenue].[All]" allUniqueName="[Sales].[Revenue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2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0" memberValueDatatype="130" unbalanced="0"/>
    <cacheHierarchy uniqueName="[Sales].[SalesMonth]" caption="SalesMonth" attribute="1" defaultMemberUniqueName="[Sales].[SalesMonth].[All]" allUniqueName="[Sales].[SalesMonth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Drugs]" caption="__XL_Count Drugs" measure="1" displayFolder="" measureGroup="Drugs" count="0" hidden="1"/>
    <cacheHierarchy uniqueName="[Measures].[__XL_Count Sales]" caption="__XL_Count Sales" measure="1" displayFolder="" measureGroup="Sales" count="0" hidden="1"/>
    <cacheHierarchy uniqueName="[Measures].[__XL_Count Range 1]" caption="__XL_Count Range 1" measure="1" displayFolder="" measureGroup="Range 1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venue]" caption="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venue 2]" caption="Count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868.00]" caption="Sum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2868.00]" caption="Count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Date]" caption="Count of SaleDate" measure="1" displayFolder="" measureGroup="Sa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Date (Month)]" caption="Count of SaleDate (Month)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Distinct Count of Revenue]" caption="Distinct 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Type]" caption="Count of CustomerType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Name]" caption="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Name]" caption="Distinct 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Customers" uniqueName="[Customers]" caption="Customers"/>
    <dimension name="Drugs" uniqueName="[Drugs]" caption="Drugs"/>
    <dimension measure="1" name="Measures" uniqueName="[Measures]" caption="Measures"/>
    <dimension name="Range" uniqueName="[Range]" caption="Range"/>
    <dimension name="Range 1" uniqueName="[Range 1]" caption="Range 1"/>
    <dimension name="Sales" uniqueName="[Sales]" caption="Sales"/>
  </dimensions>
  <measureGroups count="5">
    <measureGroup name="Customers" caption="Customers"/>
    <measureGroup name="Drugs" caption="Drugs"/>
    <measureGroup name="Range" caption="Range"/>
    <measureGroup name="Range 1" caption="Range 1"/>
    <measureGroup name="Sales" caption="Sales"/>
  </measureGroups>
  <maps count="10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4"/>
    <map measureGroup="4" dimension="0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23.877591666664" backgroundQuery="1" createdVersion="8" refreshedVersion="8" minRefreshableVersion="3" recordCount="0" supportSubquery="1" supportAdvancedDrill="1" xr:uid="{2DD0B092-74F7-49F5-8B8A-63B4F8897142}">
  <cacheSource type="external" connectionId="4"/>
  <cacheFields count="3">
    <cacheField name="[Customers].[CustomerName].[CustomerName]" caption="CustomerName" numFmtId="0" hierarchy="1" level="1">
      <sharedItems count="1">
        <s v="Al Noor Hospital"/>
      </sharedItems>
    </cacheField>
    <cacheField name="[Customers].[CustomerType].[CustomerType]" caption="CustomerType" numFmtId="0" hierarchy="2" level="1">
      <sharedItems count="2">
        <s v="Hospital"/>
        <s v="Pharmacy"/>
      </sharedItems>
    </cacheField>
    <cacheField name="[Measures].[Distinct Count of CustomerName]" caption="Distinct Count of CustomerName" numFmtId="0" hierarchy="53" level="32767"/>
  </cacheFields>
  <cacheHierarchies count="5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Type]" caption="CustomerType" attribute="1" defaultMemberUniqueName="[Customers].[CustomerType].[All]" allUniqueName="[Customers].[CustomerTyp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Drugs].[DrugID]" caption="DrugID" attribute="1" defaultMemberUniqueName="[Drugs].[DrugID].[All]" allUniqueName="[Drugs].[DrugID].[All]" dimensionUniqueName="[Drugs]" displayFolder="" count="0" memberValueDatatype="130" unbalanced="0"/>
    <cacheHierarchy uniqueName="[Drugs].[DrugName]" caption="DrugName" attribute="1" defaultMemberUniqueName="[Drugs].[DrugName].[All]" allUniqueName="[Drugs].[DrugName].[All]" dimensionUniqueName="[Drugs]" displayFolder="" count="0" memberValueDatatype="130" unbalanced="0"/>
    <cacheHierarchy uniqueName="[Drugs].[Standardized DrugName]" caption="Standardized DrugName" attribute="1" defaultMemberUniqueName="[Drugs].[Standardized DrugName].[All]" allUniqueName="[Drugs].[Standardized DrugName].[All]" dimensionUniqueName="[Drugs]" displayFolder="" count="0" memberValueDatatype="130" unbalanced="0"/>
    <cacheHierarchy uniqueName="[Drugs].[Category]" caption="Category" attribute="1" defaultMemberUniqueName="[Drugs].[Category].[All]" allUniqueName="[Drugs].[Category].[All]" dimensionUniqueName="[Drugs]" displayFolder="" count="0" memberValueDatatype="130" unbalanced="0"/>
    <cacheHierarchy uniqueName="[Drugs].[UnitPrice]" caption="UnitPrice" attribute="1" defaultMemberUniqueName="[Drugs].[UnitPrice].[All]" allUniqueName="[Drugs].[UnitPrice].[All]" dimensionUniqueName="[Drugs]" displayFolder="" count="0" memberValueDatatype="20" unbalanced="0"/>
    <cacheHierarchy uniqueName="[Drugs].[CostPrice]" caption="CostPrice" attribute="1" defaultMemberUniqueName="[Drugs].[CostPrice].[All]" allUniqueName="[Drugs].[CostPrice].[All]" dimensionUniqueName="[Drugs]" displayFolder="" count="0" memberValueDatatype="20" unbalanced="0"/>
    <cacheHierarchy uniqueName="[Drugs].[ShelfLifeMonths]" caption="ShelfLifeMonths" attribute="1" defaultMemberUniqueName="[Drugs].[ShelfLifeMonths].[All]" allUniqueName="[Drugs].[ShelfLifeMonths].[All]" dimensionUniqueName="[Drugs]" displayFolder="" count="0" memberValueDatatype="20" unbalanced="0"/>
    <cacheHierarchy uniqueName="[Range].[SalesID]" caption="SalesID" attribute="1" defaultMemberUniqueName="[Range].[SalesID].[All]" allUniqueName="[Range].[SalesID].[All]" dimensionUniqueName="[Range]" displayFolder="" count="0" memberValueDatatype="13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DrugID]" caption="DrugID" attribute="1" defaultMemberUniqueName="[Range].[DrugID].[All]" allUniqueName="[Range].[Drug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Date]" caption="SaleDate" attribute="1" time="1" defaultMemberUniqueName="[Range].[SaleDate].[All]" allUniqueName="[Range].[Sale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130" unbalanced="0"/>
    <cacheHierarchy uniqueName="[Range 1].[S001]" caption="S001" attribute="1" defaultMemberUniqueName="[Range 1].[S001].[All]" allUniqueName="[Range 1].[S001].[All]" dimensionUniqueName="[Range 1]" displayFolder="" count="0" memberValueDatatype="130" unbalanced="0"/>
    <cacheHierarchy uniqueName="[Range 1].[C025]" caption="C025" attribute="1" defaultMemberUniqueName="[Range 1].[C025].[All]" allUniqueName="[Range 1].[C025].[All]" dimensionUniqueName="[Range 1]" displayFolder="" count="0" memberValueDatatype="130" unbalanced="0"/>
    <cacheHierarchy uniqueName="[Range 1].[D005]" caption="D005" attribute="1" defaultMemberUniqueName="[Range 1].[D005].[All]" allUniqueName="[Range 1].[D005].[All]" dimensionUniqueName="[Range 1]" displayFolder="" count="0" memberValueDatatype="130" unbalanced="0"/>
    <cacheHierarchy uniqueName="[Range 1].[239]" caption="239" attribute="1" defaultMemberUniqueName="[Range 1].[239].[All]" allUniqueName="[Range 1].[239].[All]" dimensionUniqueName="[Range 1]" displayFolder="" count="0" memberValueDatatype="20" unbalanced="0"/>
    <cacheHierarchy uniqueName="[Range 1].[5/9/2023]" caption="5/9/2023" attribute="1" time="1" defaultMemberUniqueName="[Range 1].[5/9/2023].[All]" allUniqueName="[Range 1].[5/9/2023].[All]" dimensionUniqueName="[Range 1]" displayFolder="" count="0" memberValueDatatype="7" unbalanced="0"/>
    <cacheHierarchy uniqueName="[Range 1].[2868.00]" caption="2868.00" attribute="1" defaultMemberUniqueName="[Range 1].[2868.00].[All]" allUniqueName="[Range 1].[2868.00].[All]" dimensionUniqueName="[Range 1]" displayFolder="" count="0" memberValueDatatype="20" unbalanced="0"/>
    <cacheHierarchy uniqueName="[Range 1].[6.00]" caption="6.00" attribute="1" defaultMemberUniqueName="[Range 1].[6.00].[All]" allUniqueName="[Range 1].[6.00].[All]" dimensionUniqueName="[Range 1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DrugID]" caption="DrugID" attribute="1" defaultMemberUniqueName="[Sales].[DrugID].[All]" allUniqueName="[Sales].[Drug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Revenue]" caption="Revenue" attribute="1" defaultMemberUniqueName="[Sales].[Revenue].[All]" allUniqueName="[Sales].[Revenue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2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0" memberValueDatatype="130" unbalanced="0"/>
    <cacheHierarchy uniqueName="[Sales].[SalesMonth]" caption="SalesMonth" attribute="1" defaultMemberUniqueName="[Sales].[SalesMonth].[All]" allUniqueName="[Sales].[SalesMonth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Drugs]" caption="__XL_Count Drugs" measure="1" displayFolder="" measureGroup="Drugs" count="0" hidden="1"/>
    <cacheHierarchy uniqueName="[Measures].[__XL_Count Sales]" caption="__XL_Count Sales" measure="1" displayFolder="" measureGroup="Sales" count="0" hidden="1"/>
    <cacheHierarchy uniqueName="[Measures].[__XL_Count Range 1]" caption="__XL_Count Range 1" measure="1" displayFolder="" measureGroup="Range 1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venue]" caption="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venue 2]" caption="Count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868.00]" caption="Sum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2868.00]" caption="Count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Date]" caption="Count of SaleDate" measure="1" displayFolder="" measureGroup="Sa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Date (Month)]" caption="Count of SaleDate (Month)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Distinct Count of Revenue]" caption="Distinct 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Type]" caption="Count of CustomerType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Name]" caption="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Name]" caption="Distinct Count of CustomerName" measure="1" displayFolder="" measureGroup="Custom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Customers" uniqueName="[Customers]" caption="Customers"/>
    <dimension name="Drugs" uniqueName="[Drugs]" caption="Drugs"/>
    <dimension measure="1" name="Measures" uniqueName="[Measures]" caption="Measures"/>
    <dimension name="Range" uniqueName="[Range]" caption="Range"/>
    <dimension name="Range 1" uniqueName="[Range 1]" caption="Range 1"/>
    <dimension name="Sales" uniqueName="[Sales]" caption="Sales"/>
  </dimensions>
  <measureGroups count="5">
    <measureGroup name="Customers" caption="Customers"/>
    <measureGroup name="Drugs" caption="Drugs"/>
    <measureGroup name="Range" caption="Range"/>
    <measureGroup name="Range 1" caption="Range 1"/>
    <measureGroup name="Sales" caption="Sales"/>
  </measureGroups>
  <maps count="10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4"/>
    <map measureGroup="4" dimension="0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23.87767303241" backgroundQuery="1" createdVersion="8" refreshedVersion="8" minRefreshableVersion="3" recordCount="0" supportSubquery="1" supportAdvancedDrill="1" xr:uid="{BF314C49-9CEE-43DD-B5D2-529B6ACEF293}">
  <cacheSource type="external" connectionId="4"/>
  <cacheFields count="3">
    <cacheField name="[Customers].[CustomerName].[CustomerName]" caption="CustomerName" numFmtId="0" hierarchy="1" level="1">
      <sharedItems count="10">
        <s v="Al Noor Pharmacy"/>
        <s v="Alchemist Hospital"/>
        <s v="Aster Hospital"/>
        <s v="Aster Pharmacy"/>
        <s v="HealthPlus Pharmacy"/>
        <s v="Jupiter Hospital"/>
        <s v="Modern Pharmacy"/>
        <s v="NMC Pharmacy"/>
        <s v="Yateem Hospital"/>
        <s v="Zulekha Hospital"/>
      </sharedItems>
    </cacheField>
    <cacheField name="[Drugs].[Category].[Category]" caption="Category" numFmtId="0" hierarchy="8" level="1">
      <sharedItems count="8">
        <s v="Allergy"/>
        <s v="Analgesic"/>
        <s v="Antibiotic"/>
        <s v="Cardiac"/>
        <s v="Diabetes"/>
        <s v="Gastro"/>
        <s v="General"/>
        <s v="Supplement"/>
      </sharedItems>
    </cacheField>
    <cacheField name="[Measures].[Sum of Revenue]" caption="Sum of Revenue" numFmtId="0" hierarchy="54" level="32767"/>
  </cacheFields>
  <cacheHierarchies count="5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Type]" caption="CustomerType" attribute="1" defaultMemberUniqueName="[Customers].[CustomerType].[All]" allUniqueName="[Customers].[CustomerTyp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Drugs].[DrugID]" caption="DrugID" attribute="1" defaultMemberUniqueName="[Drugs].[DrugID].[All]" allUniqueName="[Drugs].[DrugID].[All]" dimensionUniqueName="[Drugs]" displayFolder="" count="0" memberValueDatatype="130" unbalanced="0"/>
    <cacheHierarchy uniqueName="[Drugs].[DrugName]" caption="DrugName" attribute="1" defaultMemberUniqueName="[Drugs].[DrugName].[All]" allUniqueName="[Drugs].[DrugName].[All]" dimensionUniqueName="[Drugs]" displayFolder="" count="0" memberValueDatatype="130" unbalanced="0"/>
    <cacheHierarchy uniqueName="[Drugs].[Standardized DrugName]" caption="Standardized DrugName" attribute="1" defaultMemberUniqueName="[Drugs].[Standardized DrugName].[All]" allUniqueName="[Drugs].[Standardized DrugName].[All]" dimensionUniqueName="[Drugs]" displayFolder="" count="0" memberValueDatatype="130" unbalanced="0"/>
    <cacheHierarchy uniqueName="[Drugs].[Category]" caption="Category" attribute="1" defaultMemberUniqueName="[Drugs].[Category].[All]" allUniqueName="[Drugs].[Category].[All]" dimensionUniqueName="[Drugs]" displayFolder="" count="2" memberValueDatatype="130" unbalanced="0">
      <fieldsUsage count="2">
        <fieldUsage x="-1"/>
        <fieldUsage x="1"/>
      </fieldsUsage>
    </cacheHierarchy>
    <cacheHierarchy uniqueName="[Drugs].[UnitPrice]" caption="UnitPrice" attribute="1" defaultMemberUniqueName="[Drugs].[UnitPrice].[All]" allUniqueName="[Drugs].[UnitPrice].[All]" dimensionUniqueName="[Drugs]" displayFolder="" count="0" memberValueDatatype="20" unbalanced="0"/>
    <cacheHierarchy uniqueName="[Drugs].[CostPrice]" caption="CostPrice" attribute="1" defaultMemberUniqueName="[Drugs].[CostPrice].[All]" allUniqueName="[Drugs].[CostPrice].[All]" dimensionUniqueName="[Drugs]" displayFolder="" count="0" memberValueDatatype="20" unbalanced="0"/>
    <cacheHierarchy uniqueName="[Drugs].[ShelfLifeMonths]" caption="ShelfLifeMonths" attribute="1" defaultMemberUniqueName="[Drugs].[ShelfLifeMonths].[All]" allUniqueName="[Drugs].[ShelfLifeMonths].[All]" dimensionUniqueName="[Drugs]" displayFolder="" count="0" memberValueDatatype="20" unbalanced="0"/>
    <cacheHierarchy uniqueName="[Range].[SalesID]" caption="SalesID" attribute="1" defaultMemberUniqueName="[Range].[SalesID].[All]" allUniqueName="[Range].[SalesID].[All]" dimensionUniqueName="[Range]" displayFolder="" count="0" memberValueDatatype="13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DrugID]" caption="DrugID" attribute="1" defaultMemberUniqueName="[Range].[DrugID].[All]" allUniqueName="[Range].[Drug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Date]" caption="SaleDate" attribute="1" time="1" defaultMemberUniqueName="[Range].[SaleDate].[All]" allUniqueName="[Range].[Sale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130" unbalanced="0"/>
    <cacheHierarchy uniqueName="[Range 1].[S001]" caption="S001" attribute="1" defaultMemberUniqueName="[Range 1].[S001].[All]" allUniqueName="[Range 1].[S001].[All]" dimensionUniqueName="[Range 1]" displayFolder="" count="0" memberValueDatatype="130" unbalanced="0"/>
    <cacheHierarchy uniqueName="[Range 1].[C025]" caption="C025" attribute="1" defaultMemberUniqueName="[Range 1].[C025].[All]" allUniqueName="[Range 1].[C025].[All]" dimensionUniqueName="[Range 1]" displayFolder="" count="0" memberValueDatatype="130" unbalanced="0"/>
    <cacheHierarchy uniqueName="[Range 1].[D005]" caption="D005" attribute="1" defaultMemberUniqueName="[Range 1].[D005].[All]" allUniqueName="[Range 1].[D005].[All]" dimensionUniqueName="[Range 1]" displayFolder="" count="0" memberValueDatatype="130" unbalanced="0"/>
    <cacheHierarchy uniqueName="[Range 1].[239]" caption="239" attribute="1" defaultMemberUniqueName="[Range 1].[239].[All]" allUniqueName="[Range 1].[239].[All]" dimensionUniqueName="[Range 1]" displayFolder="" count="0" memberValueDatatype="20" unbalanced="0"/>
    <cacheHierarchy uniqueName="[Range 1].[5/9/2023]" caption="5/9/2023" attribute="1" time="1" defaultMemberUniqueName="[Range 1].[5/9/2023].[All]" allUniqueName="[Range 1].[5/9/2023].[All]" dimensionUniqueName="[Range 1]" displayFolder="" count="0" memberValueDatatype="7" unbalanced="0"/>
    <cacheHierarchy uniqueName="[Range 1].[2868.00]" caption="2868.00" attribute="1" defaultMemberUniqueName="[Range 1].[2868.00].[All]" allUniqueName="[Range 1].[2868.00].[All]" dimensionUniqueName="[Range 1]" displayFolder="" count="0" memberValueDatatype="20" unbalanced="0"/>
    <cacheHierarchy uniqueName="[Range 1].[6.00]" caption="6.00" attribute="1" defaultMemberUniqueName="[Range 1].[6.00].[All]" allUniqueName="[Range 1].[6.00].[All]" dimensionUniqueName="[Range 1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DrugID]" caption="DrugID" attribute="1" defaultMemberUniqueName="[Sales].[DrugID].[All]" allUniqueName="[Sales].[Drug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Revenue]" caption="Revenue" attribute="1" defaultMemberUniqueName="[Sales].[Revenue].[All]" allUniqueName="[Sales].[Revenue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2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0" memberValueDatatype="130" unbalanced="0"/>
    <cacheHierarchy uniqueName="[Sales].[SalesMonth]" caption="SalesMonth" attribute="1" defaultMemberUniqueName="[Sales].[SalesMonth].[All]" allUniqueName="[Sales].[SalesMonth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Drugs]" caption="__XL_Count Drugs" measure="1" displayFolder="" measureGroup="Drugs" count="0" hidden="1"/>
    <cacheHierarchy uniqueName="[Measures].[__XL_Count Sales]" caption="__XL_Count Sales" measure="1" displayFolder="" measureGroup="Sales" count="0" hidden="1"/>
    <cacheHierarchy uniqueName="[Measures].[__XL_Count Range 1]" caption="__XL_Count Range 1" measure="1" displayFolder="" measureGroup="Range 1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venue]" caption="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venue 2]" caption="Count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868.00]" caption="Sum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2868.00]" caption="Count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Date]" caption="Count of SaleDate" measure="1" displayFolder="" measureGroup="Sa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Date (Month)]" caption="Count of SaleDate (Month)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Distinct Count of Revenue]" caption="Distinct 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Type]" caption="Count of CustomerType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Name]" caption="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Name]" caption="Distinct 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Customers" uniqueName="[Customers]" caption="Customers"/>
    <dimension name="Drugs" uniqueName="[Drugs]" caption="Drugs"/>
    <dimension measure="1" name="Measures" uniqueName="[Measures]" caption="Measures"/>
    <dimension name="Range" uniqueName="[Range]" caption="Range"/>
    <dimension name="Range 1" uniqueName="[Range 1]" caption="Range 1"/>
    <dimension name="Sales" uniqueName="[Sales]" caption="Sales"/>
  </dimensions>
  <measureGroups count="5">
    <measureGroup name="Customers" caption="Customers"/>
    <measureGroup name="Drugs" caption="Drugs"/>
    <measureGroup name="Range" caption="Range"/>
    <measureGroup name="Range 1" caption="Range 1"/>
    <measureGroup name="Sales" caption="Sales"/>
  </measureGroups>
  <maps count="10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4"/>
    <map measureGroup="4" dimension="0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23.878939467591" backgroundQuery="1" createdVersion="8" refreshedVersion="8" minRefreshableVersion="3" recordCount="0" supportSubquery="1" supportAdvancedDrill="1" xr:uid="{1E4F2B18-8CFF-4A6F-8AD5-4B494AADCDE4}">
  <cacheSource type="external" connectionId="4"/>
  <cacheFields count="2">
    <cacheField name="[Customers].[CustomerName].[CustomerName]" caption="CustomerName" numFmtId="0" hierarchy="1" level="1">
      <sharedItems count="10">
        <s v="Al Noor Hospital"/>
        <s v="Al Noor Pharmacy"/>
        <s v="Alchemist Pharmacy"/>
        <s v="Aster Hospital"/>
        <s v="Aster Pharmacy"/>
        <s v="Canadian Hospital"/>
        <s v="Modern Pharmacy"/>
        <s v="Prime Hospital"/>
        <s v="Wellness Pharmacy"/>
        <s v="Zulekha Hospital"/>
      </sharedItems>
    </cacheField>
    <cacheField name="[Measures].[Sum of Revenue]" caption="Sum of Revenue" numFmtId="0" hierarchy="54" level="32767"/>
  </cacheFields>
  <cacheHierarchies count="5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Type]" caption="CustomerType" attribute="1" defaultMemberUniqueName="[Customers].[CustomerType].[All]" allUniqueName="[Customers].[CustomerTyp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Drugs].[DrugID]" caption="DrugID" attribute="1" defaultMemberUniqueName="[Drugs].[DrugID].[All]" allUniqueName="[Drugs].[DrugID].[All]" dimensionUniqueName="[Drugs]" displayFolder="" count="0" memberValueDatatype="130" unbalanced="0"/>
    <cacheHierarchy uniqueName="[Drugs].[DrugName]" caption="DrugName" attribute="1" defaultMemberUniqueName="[Drugs].[DrugName].[All]" allUniqueName="[Drugs].[DrugName].[All]" dimensionUniqueName="[Drugs]" displayFolder="" count="0" memberValueDatatype="130" unbalanced="0"/>
    <cacheHierarchy uniqueName="[Drugs].[Standardized DrugName]" caption="Standardized DrugName" attribute="1" defaultMemberUniqueName="[Drugs].[Standardized DrugName].[All]" allUniqueName="[Drugs].[Standardized DrugName].[All]" dimensionUniqueName="[Drugs]" displayFolder="" count="0" memberValueDatatype="130" unbalanced="0"/>
    <cacheHierarchy uniqueName="[Drugs].[Category]" caption="Category" attribute="1" defaultMemberUniqueName="[Drugs].[Category].[All]" allUniqueName="[Drugs].[Category].[All]" dimensionUniqueName="[Drugs]" displayFolder="" count="0" memberValueDatatype="130" unbalanced="0"/>
    <cacheHierarchy uniqueName="[Drugs].[UnitPrice]" caption="UnitPrice" attribute="1" defaultMemberUniqueName="[Drugs].[UnitPrice].[All]" allUniqueName="[Drugs].[UnitPrice].[All]" dimensionUniqueName="[Drugs]" displayFolder="" count="0" memberValueDatatype="20" unbalanced="0"/>
    <cacheHierarchy uniqueName="[Drugs].[CostPrice]" caption="CostPrice" attribute="1" defaultMemberUniqueName="[Drugs].[CostPrice].[All]" allUniqueName="[Drugs].[CostPrice].[All]" dimensionUniqueName="[Drugs]" displayFolder="" count="0" memberValueDatatype="20" unbalanced="0"/>
    <cacheHierarchy uniqueName="[Drugs].[ShelfLifeMonths]" caption="ShelfLifeMonths" attribute="1" defaultMemberUniqueName="[Drugs].[ShelfLifeMonths].[All]" allUniqueName="[Drugs].[ShelfLifeMonths].[All]" dimensionUniqueName="[Drugs]" displayFolder="" count="0" memberValueDatatype="20" unbalanced="0"/>
    <cacheHierarchy uniqueName="[Range].[SalesID]" caption="SalesID" attribute="1" defaultMemberUniqueName="[Range].[SalesID].[All]" allUniqueName="[Range].[SalesID].[All]" dimensionUniqueName="[Range]" displayFolder="" count="0" memberValueDatatype="13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DrugID]" caption="DrugID" attribute="1" defaultMemberUniqueName="[Range].[DrugID].[All]" allUniqueName="[Range].[Drug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Date]" caption="SaleDate" attribute="1" time="1" defaultMemberUniqueName="[Range].[SaleDate].[All]" allUniqueName="[Range].[Sale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130" unbalanced="0"/>
    <cacheHierarchy uniqueName="[Range 1].[S001]" caption="S001" attribute="1" defaultMemberUniqueName="[Range 1].[S001].[All]" allUniqueName="[Range 1].[S001].[All]" dimensionUniqueName="[Range 1]" displayFolder="" count="0" memberValueDatatype="130" unbalanced="0"/>
    <cacheHierarchy uniqueName="[Range 1].[C025]" caption="C025" attribute="1" defaultMemberUniqueName="[Range 1].[C025].[All]" allUniqueName="[Range 1].[C025].[All]" dimensionUniqueName="[Range 1]" displayFolder="" count="0" memberValueDatatype="130" unbalanced="0"/>
    <cacheHierarchy uniqueName="[Range 1].[D005]" caption="D005" attribute="1" defaultMemberUniqueName="[Range 1].[D005].[All]" allUniqueName="[Range 1].[D005].[All]" dimensionUniqueName="[Range 1]" displayFolder="" count="0" memberValueDatatype="130" unbalanced="0"/>
    <cacheHierarchy uniqueName="[Range 1].[239]" caption="239" attribute="1" defaultMemberUniqueName="[Range 1].[239].[All]" allUniqueName="[Range 1].[239].[All]" dimensionUniqueName="[Range 1]" displayFolder="" count="0" memberValueDatatype="20" unbalanced="0"/>
    <cacheHierarchy uniqueName="[Range 1].[5/9/2023]" caption="5/9/2023" attribute="1" time="1" defaultMemberUniqueName="[Range 1].[5/9/2023].[All]" allUniqueName="[Range 1].[5/9/2023].[All]" dimensionUniqueName="[Range 1]" displayFolder="" count="0" memberValueDatatype="7" unbalanced="0"/>
    <cacheHierarchy uniqueName="[Range 1].[2868.00]" caption="2868.00" attribute="1" defaultMemberUniqueName="[Range 1].[2868.00].[All]" allUniqueName="[Range 1].[2868.00].[All]" dimensionUniqueName="[Range 1]" displayFolder="" count="0" memberValueDatatype="20" unbalanced="0"/>
    <cacheHierarchy uniqueName="[Range 1].[6.00]" caption="6.00" attribute="1" defaultMemberUniqueName="[Range 1].[6.00].[All]" allUniqueName="[Range 1].[6.00].[All]" dimensionUniqueName="[Range 1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DrugID]" caption="DrugID" attribute="1" defaultMemberUniqueName="[Sales].[DrugID].[All]" allUniqueName="[Sales].[Drug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Revenue]" caption="Revenue" attribute="1" defaultMemberUniqueName="[Sales].[Revenue].[All]" allUniqueName="[Sales].[Revenue].[All]" dimensionUniqueName="[Sales]" displayFolder="" count="2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2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0" memberValueDatatype="130" unbalanced="0"/>
    <cacheHierarchy uniqueName="[Sales].[SalesMonth]" caption="SalesMonth" attribute="1" defaultMemberUniqueName="[Sales].[SalesMonth].[All]" allUniqueName="[Sales].[SalesMonth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Drugs]" caption="__XL_Count Drugs" measure="1" displayFolder="" measureGroup="Drugs" count="0" hidden="1"/>
    <cacheHierarchy uniqueName="[Measures].[__XL_Count Sales]" caption="__XL_Count Sales" measure="1" displayFolder="" measureGroup="Sales" count="0" hidden="1"/>
    <cacheHierarchy uniqueName="[Measures].[__XL_Count Range 1]" caption="__XL_Count Range 1" measure="1" displayFolder="" measureGroup="Range 1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venue]" caption="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venue 2]" caption="Count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868.00]" caption="Sum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2868.00]" caption="Count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Date]" caption="Count of SaleDate" measure="1" displayFolder="" measureGroup="Sa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Date (Month)]" caption="Count of SaleDate (Month)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Distinct Count of Revenue]" caption="Distinct 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Type]" caption="Count of CustomerType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Name]" caption="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Name]" caption="Distinct 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Customers" uniqueName="[Customers]" caption="Customers"/>
    <dimension name="Drugs" uniqueName="[Drugs]" caption="Drugs"/>
    <dimension measure="1" name="Measures" uniqueName="[Measures]" caption="Measures"/>
    <dimension name="Range" uniqueName="[Range]" caption="Range"/>
    <dimension name="Range 1" uniqueName="[Range 1]" caption="Range 1"/>
    <dimension name="Sales" uniqueName="[Sales]" caption="Sales"/>
  </dimensions>
  <measureGroups count="5">
    <measureGroup name="Customers" caption="Customers"/>
    <measureGroup name="Drugs" caption="Drugs"/>
    <measureGroup name="Range" caption="Range"/>
    <measureGroup name="Range 1" caption="Range 1"/>
    <measureGroup name="Sales" caption="Sales"/>
  </measureGroups>
  <maps count="10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4"/>
    <map measureGroup="4" dimension="0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23.883057407409" backgroundQuery="1" createdVersion="8" refreshedVersion="8" minRefreshableVersion="3" recordCount="0" supportSubquery="1" supportAdvancedDrill="1" xr:uid="{749B0FF5-8B70-446B-BBE4-2B07BEC9EC34}">
  <cacheSource type="external" connectionId="4"/>
  <cacheFields count="3">
    <cacheField name="[Customers].[CustomerName].[CustomerName]" caption="CustomerName" numFmtId="0" hierarchy="1" level="1">
      <sharedItems count="10">
        <s v="Al Noor Pharmacy"/>
        <s v="Alchemist Hospital"/>
        <s v="Aster Hospital"/>
        <s v="Aster Pharmacy"/>
        <s v="HealthPlus Pharmacy"/>
        <s v="Jupiter Hospital"/>
        <s v="Modern Pharmacy"/>
        <s v="NMC Pharmacy"/>
        <s v="Yateem Hospital"/>
        <s v="Zulekha Hospital"/>
      </sharedItems>
    </cacheField>
    <cacheField name="[Measures].[Sum of Revenue]" caption="Sum of Revenue" numFmtId="0" hierarchy="54" level="32767"/>
    <cacheField name="[Drugs].[Standardized DrugName].[Standardized DrugName]" caption="Standardized DrugName" numFmtId="0" hierarchy="7" level="1">
      <sharedItems count="10">
        <s v="Amoxicillin 250Mg 18"/>
        <s v="Azithromycin 250Mg"/>
        <s v="Ciprofloxacin 500Mg 86"/>
        <s v="Ibuprofen 200Mg 40 27"/>
        <s v="Ors Electrolyte"/>
        <s v="Pantoprazole 40Mg"/>
        <s v="Pantoprazole 40Mg 22"/>
        <s v="Vitamin D3 1000Iu"/>
        <s v="Vitamin D3 1000Iu 52 14"/>
        <s v="Zinc Sulphate"/>
      </sharedItems>
    </cacheField>
  </cacheFields>
  <cacheHierarchies count="55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Type]" caption="CustomerType" attribute="1" defaultMemberUniqueName="[Customers].[CustomerType].[All]" allUniqueName="[Customers].[CustomerTyp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Drugs].[DrugID]" caption="DrugID" attribute="1" defaultMemberUniqueName="[Drugs].[DrugID].[All]" allUniqueName="[Drugs].[DrugID].[All]" dimensionUniqueName="[Drugs]" displayFolder="" count="0" memberValueDatatype="130" unbalanced="0"/>
    <cacheHierarchy uniqueName="[Drugs].[DrugName]" caption="DrugName" attribute="1" defaultMemberUniqueName="[Drugs].[DrugName].[All]" allUniqueName="[Drugs].[DrugName].[All]" dimensionUniqueName="[Drugs]" displayFolder="" count="0" memberValueDatatype="130" unbalanced="0"/>
    <cacheHierarchy uniqueName="[Drugs].[Standardized DrugName]" caption="Standardized DrugName" attribute="1" defaultMemberUniqueName="[Drugs].[Standardized DrugName].[All]" allUniqueName="[Drugs].[Standardized DrugName].[All]" dimensionUniqueName="[Drugs]" displayFolder="" count="2" memberValueDatatype="130" unbalanced="0">
      <fieldsUsage count="2">
        <fieldUsage x="-1"/>
        <fieldUsage x="2"/>
      </fieldsUsage>
    </cacheHierarchy>
    <cacheHierarchy uniqueName="[Drugs].[Category]" caption="Category" attribute="1" defaultMemberUniqueName="[Drugs].[Category].[All]" allUniqueName="[Drugs].[Category].[All]" dimensionUniqueName="[Drugs]" displayFolder="" count="2" memberValueDatatype="130" unbalanced="0"/>
    <cacheHierarchy uniqueName="[Drugs].[UnitPrice]" caption="UnitPrice" attribute="1" defaultMemberUniqueName="[Drugs].[UnitPrice].[All]" allUniqueName="[Drugs].[UnitPrice].[All]" dimensionUniqueName="[Drugs]" displayFolder="" count="0" memberValueDatatype="20" unbalanced="0"/>
    <cacheHierarchy uniqueName="[Drugs].[CostPrice]" caption="CostPrice" attribute="1" defaultMemberUniqueName="[Drugs].[CostPrice].[All]" allUniqueName="[Drugs].[CostPrice].[All]" dimensionUniqueName="[Drugs]" displayFolder="" count="0" memberValueDatatype="20" unbalanced="0"/>
    <cacheHierarchy uniqueName="[Drugs].[ShelfLifeMonths]" caption="ShelfLifeMonths" attribute="1" defaultMemberUniqueName="[Drugs].[ShelfLifeMonths].[All]" allUniqueName="[Drugs].[ShelfLifeMonths].[All]" dimensionUniqueName="[Drugs]" displayFolder="" count="0" memberValueDatatype="20" unbalanced="0"/>
    <cacheHierarchy uniqueName="[Range].[SalesID]" caption="SalesID" attribute="1" defaultMemberUniqueName="[Range].[SalesID].[All]" allUniqueName="[Range].[SalesID].[All]" dimensionUniqueName="[Range]" displayFolder="" count="0" memberValueDatatype="13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DrugID]" caption="DrugID" attribute="1" defaultMemberUniqueName="[Range].[DrugID].[All]" allUniqueName="[Range].[Drug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Date]" caption="SaleDate" attribute="1" time="1" defaultMemberUniqueName="[Range].[SaleDate].[All]" allUniqueName="[Range].[Sale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130" unbalanced="0"/>
    <cacheHierarchy uniqueName="[Range 1].[S001]" caption="S001" attribute="1" defaultMemberUniqueName="[Range 1].[S001].[All]" allUniqueName="[Range 1].[S001].[All]" dimensionUniqueName="[Range 1]" displayFolder="" count="0" memberValueDatatype="130" unbalanced="0"/>
    <cacheHierarchy uniqueName="[Range 1].[C025]" caption="C025" attribute="1" defaultMemberUniqueName="[Range 1].[C025].[All]" allUniqueName="[Range 1].[C025].[All]" dimensionUniqueName="[Range 1]" displayFolder="" count="0" memberValueDatatype="130" unbalanced="0"/>
    <cacheHierarchy uniqueName="[Range 1].[D005]" caption="D005" attribute="1" defaultMemberUniqueName="[Range 1].[D005].[All]" allUniqueName="[Range 1].[D005].[All]" dimensionUniqueName="[Range 1]" displayFolder="" count="0" memberValueDatatype="130" unbalanced="0"/>
    <cacheHierarchy uniqueName="[Range 1].[239]" caption="239" attribute="1" defaultMemberUniqueName="[Range 1].[239].[All]" allUniqueName="[Range 1].[239].[All]" dimensionUniqueName="[Range 1]" displayFolder="" count="0" memberValueDatatype="20" unbalanced="0"/>
    <cacheHierarchy uniqueName="[Range 1].[5/9/2023]" caption="5/9/2023" attribute="1" time="1" defaultMemberUniqueName="[Range 1].[5/9/2023].[All]" allUniqueName="[Range 1].[5/9/2023].[All]" dimensionUniqueName="[Range 1]" displayFolder="" count="0" memberValueDatatype="7" unbalanced="0"/>
    <cacheHierarchy uniqueName="[Range 1].[2868.00]" caption="2868.00" attribute="1" defaultMemberUniqueName="[Range 1].[2868.00].[All]" allUniqueName="[Range 1].[2868.00].[All]" dimensionUniqueName="[Range 1]" displayFolder="" count="0" memberValueDatatype="20" unbalanced="0"/>
    <cacheHierarchy uniqueName="[Range 1].[6.00]" caption="6.00" attribute="1" defaultMemberUniqueName="[Range 1].[6.00].[All]" allUniqueName="[Range 1].[6.00].[All]" dimensionUniqueName="[Range 1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DrugID]" caption="DrugID" attribute="1" defaultMemberUniqueName="[Sales].[DrugID].[All]" allUniqueName="[Sales].[Drug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Revenue]" caption="Revenue" attribute="1" defaultMemberUniqueName="[Sales].[Revenue].[All]" allUniqueName="[Sales].[Revenue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20" unbalanced="0"/>
    <cacheHierarchy uniqueName="[Sales].[SaleDate (Month)]" caption="SaleDate (Month)" attribute="1" defaultMemberUniqueName="[Sales].[SaleDate (Month)].[All]" allUniqueName="[Sales].[SaleDate (Month)].[All]" dimensionUniqueName="[Sales]" displayFolder="" count="0" memberValueDatatype="130" unbalanced="0"/>
    <cacheHierarchy uniqueName="[Sales].[SalesMonth]" caption="SalesMonth" attribute="1" defaultMemberUniqueName="[Sales].[SalesMonth].[All]" allUniqueName="[Sales].[SalesMonth].[All]" dimensionUniqueName="[Sales]" displayFolder="" count="0" memberValueDatatype="130" unbalanced="0"/>
    <cacheHierarchy uniqueName="[Sales].[SaleDate (Month Index)]" caption="SaleDate (Month Index)" attribute="1" defaultMemberUniqueName="[Sales].[SaleDate (Month Index)].[All]" allUniqueName="[Sales].[SaleDate (Month Index)].[All]" dimensionUniqueName="[Sales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Drugs]" caption="__XL_Count Drugs" measure="1" displayFolder="" measureGroup="Drugs" count="0" hidden="1"/>
    <cacheHierarchy uniqueName="[Measures].[__XL_Count Sales]" caption="__XL_Count Sales" measure="1" displayFolder="" measureGroup="Sales" count="0" hidden="1"/>
    <cacheHierarchy uniqueName="[Measures].[__XL_Count Range 1]" caption="__XL_Count Range 1" measure="1" displayFolder="" measureGroup="Range 1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Revenue]" caption="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evenue 2]" caption="Count of Revenue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2868.00]" caption="Sum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2868.00]" caption="Count of 2868.00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Date]" caption="Count of SaleDate" measure="1" displayFolder="" measureGroup="Sale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aleDate (Month)]" caption="Count of SaleDate (Month)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Distinct Count of Revenue]" caption="Distinct Count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Type]" caption="Count of CustomerType" measure="1" displayFolder="" measureGroup="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ID]" caption="Count of Customer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Name]" caption="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Name]" caption="Distinct Count of Customer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6">
    <dimension name="Customers" uniqueName="[Customers]" caption="Customers"/>
    <dimension name="Drugs" uniqueName="[Drugs]" caption="Drugs"/>
    <dimension measure="1" name="Measures" uniqueName="[Measures]" caption="Measures"/>
    <dimension name="Range" uniqueName="[Range]" caption="Range"/>
    <dimension name="Range 1" uniqueName="[Range 1]" caption="Range 1"/>
    <dimension name="Sales" uniqueName="[Sales]" caption="Sales"/>
  </dimensions>
  <measureGroups count="5">
    <measureGroup name="Customers" caption="Customers"/>
    <measureGroup name="Drugs" caption="Drugs"/>
    <measureGroup name="Range" caption="Range"/>
    <measureGroup name="Range 1" caption="Range 1"/>
    <measureGroup name="Sales" caption="Sales"/>
  </measureGroups>
  <maps count="10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4"/>
    <map measureGroup="4" dimension="0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46D69-695B-4A7F-8359-5711F074FEC7}" name="PivotTable1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2">
  <location ref="D20:E23" firstHeaderRow="1" firstDataRow="1" firstDataCol="1"/>
  <pivotFields count="3">
    <pivotField compact="0" allDrilled="1" outline="0" subtotalTop="0" showAll="0" sortType="ascending" defaultSubtotal="0" defaultAttributeDrillState="1">
      <items count="1">
        <item s="1" x="0"/>
      </items>
    </pivotField>
    <pivotField axis="axisRow" compact="0" allDrilled="1" outline="0" subtotalTop="0" showAll="0" hideNewItems="1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Distinct Count of CustomerName" fld="2" subtotal="count" showDataAs="percentOfTotal" baseField="1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14">
      <pivotArea dataOnly="0" labelOnly="1" outline="0" axis="axisValues" fieldPosition="0"/>
    </format>
    <format dxfId="13">
      <pivotArea dataOnly="0" labelOnly="1" outline="0" axis="axisValues" fieldPosition="0"/>
    </format>
  </formats>
  <chartFormats count="3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Name"/>
    <pivotHierarchy dragToData="1" caption="Distinct Count of CustomerNam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/>
    </ext>
    <ext xmlns:x15="http://schemas.microsoft.com/office/spreadsheetml/2010/11/main" uri="{E67621CE-5B39-4880-91FE-76760E9C1902}">
      <x15:pivotTableUISettings>
        <x15:activeTabTopLevelEntity name="[Drugs]"/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4ED2B-6819-4041-868F-A566AC1B496D}" name="PivotTable1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5">
  <location ref="A20:B29" firstHeaderRow="1" firstDataRow="1" firstDataCol="1"/>
  <pivotFields count="3"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compact="0" outline="0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venue"/>
  </pivotHierarchies>
  <pivotTableStyleInfo name="PivotStyleLight16" showRowHeaders="1" showColHeaders="1" showRowStripes="0" showColStripes="0" showLastColumn="1"/>
  <filters count="1">
    <filter fld="0" type="count" id="2" iMeasureHier="43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ugs]"/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9FB99-07E0-46DF-A473-AAB94C70DCB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16" firstHeaderRow="1" firstDataRow="1" firstDataCol="1"/>
  <pivotFields count="2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venue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ug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193BD-B57F-4311-8435-6B58A3DBBB60}" name="PivotTable6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6">
  <location ref="A3:B1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0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1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ug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A6221-FCF9-4F40-A12F-48472B763107}" name="PivotTable1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">
  <location ref="G3:H14" firstHeaderRow="1" firstDataRow="1" firstDataCol="1"/>
  <pivotFields count="2">
    <pivotField axis="axisRow"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venue"/>
  </pivotHierarchies>
  <pivotTableStyleInfo name="PivotStyleLight16" showRowHeaders="1" showColHeaders="1" showRowStripes="0" showColStripes="0" showLastColumn="1"/>
  <filters count="1">
    <filter fld="0" type="count" id="2" iMeasureHier="4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ugs]"/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0824B-5D09-4125-B875-4FACB6B9724C}" name="PivotTable19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10">
  <location ref="G20:H31" firstHeaderRow="1" firstDataRow="1" firstDataCol="1"/>
  <pivotFields count="3"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axis="axisRow"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venue"/>
  </pivotHierarchies>
  <pivotTableStyleInfo name="PivotStyleLight16" showRowHeaders="1" showColHeaders="1" showRowStripes="0" showColStripes="0" showLastColumn="1"/>
  <filters count="2">
    <filter fld="0" type="count" id="2" iMeasureHier="43">
      <autoFilter ref="A1">
        <filterColumn colId="0">
          <top10 val="10" filterVal="10"/>
        </filterColumn>
      </autoFilter>
    </filter>
    <filter fld="2" type="count" id="3" iMeasureHier="54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ugs]"/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E77E159-5A88-4C52-B279-363A042646E5}" autoFormatId="16" applyNumberFormats="0" applyBorderFormats="0" applyFontFormats="0" applyPatternFormats="0" applyAlignmentFormats="0" applyWidthHeightFormats="0">
  <queryTableRefresh nextId="17" unboundColumnsRight="1">
    <queryTableFields count="9">
      <queryTableField id="1" name="SalesID" tableColumnId="1"/>
      <queryTableField id="2" name="CustomerID" tableColumnId="2"/>
      <queryTableField id="3" name="DrugID" tableColumnId="3"/>
      <queryTableField id="4" name="Quantity" tableColumnId="4"/>
      <queryTableField id="5" name="SaleDate" tableColumnId="5"/>
      <queryTableField id="6" name="Revenue" tableColumnId="6"/>
      <queryTableField id="16" dataBound="0" tableColumnId="9"/>
      <queryTableField id="7" name="Profit" tableColumnId="7"/>
      <queryTableField id="14" dataBound="0" tableColumnId="10"/>
    </queryTableFields>
    <queryTableDeletedFields count="3">
      <deletedField name="Column1"/>
      <deletedField name="_1"/>
      <deletedField name="_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7399538-AF3E-484D-851A-B4210C812C8F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DrugID" tableColumnId="1"/>
      <queryTableField id="2" name="DrugName" tableColumnId="2"/>
      <queryTableField id="3" name="Standardized DrugName" tableColumnId="3"/>
      <queryTableField id="4" name="Category" tableColumnId="4"/>
      <queryTableField id="5" name="UnitPrice" tableColumnId="5"/>
      <queryTableField id="6" name="CostPrice" tableColumnId="6"/>
      <queryTableField id="7" name="ShelfLifeMonths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D4AEC2-CB3E-4A1B-88B0-B46CB7236B37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ustomerType" tableColumnId="3"/>
      <queryTableField id="4" name="City" tableColumnId="4"/>
      <queryTableField id="5" name="Join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0DFAF-F689-4C66-A8FA-12CDB857B2A3}" name="Sales" displayName="Sales" ref="A1:I41" tableType="queryTable" totalsRowShown="0">
  <tableColumns count="9">
    <tableColumn id="1" xr3:uid="{22054B90-206E-48AD-8E6D-BFA63F5C9DD8}" uniqueName="1" name="SalesID" queryTableFieldId="1" dataDxfId="12"/>
    <tableColumn id="2" xr3:uid="{6144C9B1-E892-483E-BA75-23209EB5DC4E}" uniqueName="2" name="CustomerID" queryTableFieldId="2" dataDxfId="11"/>
    <tableColumn id="3" xr3:uid="{F1167689-2D4C-4FA6-B542-72F76DEF6BF0}" uniqueName="3" name="DrugID" queryTableFieldId="3" dataDxfId="10"/>
    <tableColumn id="4" xr3:uid="{7B980EDC-67E4-47DE-9656-855A9A42C68E}" uniqueName="4" name="Quantity" queryTableFieldId="4"/>
    <tableColumn id="5" xr3:uid="{1F4CE3A4-546F-44E8-83CB-A561913B3548}" uniqueName="5" name="SaleDate" queryTableFieldId="5" dataDxfId="9"/>
    <tableColumn id="6" xr3:uid="{F8FAA6BF-64F9-4478-930B-DDC0E7DA3C4F}" uniqueName="6" name="Revenue" queryTableFieldId="6" dataDxfId="8"/>
    <tableColumn id="9" xr3:uid="{889A4BC6-7791-49FB-9C87-996FFD3363DA}" uniqueName="9" name="UnitPrice" queryTableFieldId="16" dataDxfId="7"/>
    <tableColumn id="7" xr3:uid="{2BA3E36B-037B-4D35-9BC8-AA0A62B68446}" uniqueName="7" name="Profit" queryTableFieldId="7" dataDxfId="6"/>
    <tableColumn id="10" xr3:uid="{4635685F-27E5-4478-99FE-3325F373A901}" uniqueName="10" name="SalesMonth" queryTableFieldId="14" dataDxfId="5">
      <calculatedColumnFormula>TEXT(E2,"mmm")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CEAF40-D8BC-40F9-B565-8BA4DA4D19ED}" name="Drugs" displayName="Drugs" ref="A1:I41" tableType="queryTable" totalsRowShown="0">
  <tableColumns count="9">
    <tableColumn id="1" xr3:uid="{ED903B79-B684-4C4B-B921-6A39D5656166}" uniqueName="1" name="DrugID" queryTableFieldId="1" dataDxfId="22"/>
    <tableColumn id="2" xr3:uid="{8BB6D7C3-11AC-4A11-955B-31B1BC89A57B}" uniqueName="2" name="DrugName" queryTableFieldId="2" dataDxfId="21"/>
    <tableColumn id="3" xr3:uid="{5F85CAC3-223F-459A-BBE7-1A691EA9FF85}" uniqueName="3" name="Standardized DrugName" queryTableFieldId="3" dataDxfId="20"/>
    <tableColumn id="4" xr3:uid="{5F8DD4F4-BA65-4AAD-92C3-1FFD7EF88BA2}" uniqueName="4" name="Category" queryTableFieldId="4" dataDxfId="19"/>
    <tableColumn id="5" xr3:uid="{78A878CC-30D0-4139-9DB0-5B8707E013C8}" uniqueName="5" name="UnitPrice" queryTableFieldId="5" dataDxfId="18"/>
    <tableColumn id="6" xr3:uid="{3F6D8F40-F12C-4144-98EC-FBE0A2080CD8}" uniqueName="6" name="CostPrice" queryTableFieldId="6" dataDxfId="17"/>
    <tableColumn id="7" xr3:uid="{8EADBB0A-820E-4305-B030-FCDADF570B2C}" uniqueName="7" name="ShelfLifeMonths" queryTableFieldId="7"/>
    <tableColumn id="8" xr3:uid="{05F0D522-629C-4974-8A51-31DEDCED629D}" uniqueName="8" name="ManufactureDate" queryTableFieldId="8" dataDxfId="16"/>
    <tableColumn id="9" xr3:uid="{8DE432D1-F83A-4AAE-93C7-B53A7CEE89DF}" uniqueName="9" name="ExpiryDate" queryTableFieldId="9" dataDxfId="15">
      <calculatedColumnFormula>EDATE(Drugs[[#This Row],[ManufactureDate]],Drugs[[#This Row],[ShelfLifeMonths]])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50AC6-086A-4C25-A4C9-3999C3436D0B}" name="Customers" displayName="Customers" ref="A1:E61" tableType="queryTable" totalsRowShown="0">
  <tableColumns count="5">
    <tableColumn id="1" xr3:uid="{03B15DA2-F642-410A-9119-C727694BB4B7}" uniqueName="1" name="CustomerID" queryTableFieldId="1" dataDxfId="4"/>
    <tableColumn id="2" xr3:uid="{1140B17E-7181-4B53-A571-5D3D40BAF3B2}" uniqueName="2" name="CustomerName" queryTableFieldId="2" dataDxfId="3"/>
    <tableColumn id="3" xr3:uid="{52683D9F-A1E0-422E-9E67-7E148B9C6602}" uniqueName="3" name="CustomerType" queryTableFieldId="3" dataDxfId="2"/>
    <tableColumn id="4" xr3:uid="{B9961A24-C78D-403E-9FA7-570D90F6C717}" uniqueName="4" name="City" queryTableFieldId="4" dataDxfId="1"/>
    <tableColumn id="5" xr3:uid="{B734C7BD-E41C-431B-B120-28B4877EBB3C}" uniqueName="5" name="JoinDat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5D75-1FE9-4A78-898F-6B1F195434B0}">
  <dimension ref="A2:H31"/>
  <sheetViews>
    <sheetView topLeftCell="A14" workbookViewId="0">
      <selection activeCell="D33" sqref="D33"/>
    </sheetView>
  </sheetViews>
  <sheetFormatPr defaultRowHeight="15" x14ac:dyDescent="0.25"/>
  <cols>
    <col min="1" max="1" width="11.85546875" bestFit="1" customWidth="1"/>
    <col min="2" max="2" width="15.5703125" bestFit="1" customWidth="1"/>
    <col min="3" max="3" width="9.85546875" customWidth="1"/>
    <col min="4" max="4" width="19.140625" bestFit="1" customWidth="1"/>
    <col min="5" max="5" width="16.28515625" bestFit="1" customWidth="1"/>
    <col min="6" max="6" width="12.5703125" customWidth="1"/>
    <col min="7" max="7" width="25.140625" bestFit="1" customWidth="1"/>
    <col min="8" max="8" width="15.5703125" bestFit="1" customWidth="1"/>
    <col min="9" max="9" width="17.85546875" bestFit="1" customWidth="1"/>
    <col min="10" max="10" width="13.5703125" bestFit="1" customWidth="1"/>
    <col min="11" max="11" width="14.85546875" bestFit="1" customWidth="1"/>
    <col min="12" max="12" width="19.85546875" bestFit="1" customWidth="1"/>
    <col min="13" max="13" width="15" bestFit="1" customWidth="1"/>
    <col min="14" max="14" width="17.42578125" bestFit="1" customWidth="1"/>
    <col min="15" max="15" width="14.5703125" bestFit="1" customWidth="1"/>
    <col min="16" max="16" width="15.7109375" bestFit="1" customWidth="1"/>
    <col min="17" max="17" width="15.85546875" bestFit="1" customWidth="1"/>
    <col min="18" max="18" width="11.28515625" bestFit="1" customWidth="1"/>
    <col min="19" max="19" width="15" bestFit="1" customWidth="1"/>
    <col min="20" max="20" width="18.28515625" bestFit="1" customWidth="1"/>
    <col min="21" max="21" width="19.5703125" bestFit="1" customWidth="1"/>
    <col min="22" max="22" width="16.5703125" bestFit="1" customWidth="1"/>
    <col min="23" max="23" width="18" bestFit="1" customWidth="1"/>
    <col min="24" max="24" width="15.140625" bestFit="1" customWidth="1"/>
    <col min="25" max="25" width="17.42578125" bestFit="1" customWidth="1"/>
    <col min="26" max="26" width="13.28515625" bestFit="1" customWidth="1"/>
    <col min="27" max="27" width="14.5703125" bestFit="1" customWidth="1"/>
    <col min="28" max="28" width="14.140625" bestFit="1" customWidth="1"/>
    <col min="29" max="29" width="15.42578125" bestFit="1" customWidth="1"/>
    <col min="30" max="30" width="15.28515625" bestFit="1" customWidth="1"/>
    <col min="31" max="31" width="13.140625" bestFit="1" customWidth="1"/>
    <col min="32" max="32" width="17.42578125" bestFit="1" customWidth="1"/>
    <col min="33" max="33" width="18.5703125" bestFit="1" customWidth="1"/>
    <col min="34" max="34" width="15.7109375" bestFit="1" customWidth="1"/>
    <col min="35" max="35" width="17" bestFit="1" customWidth="1"/>
    <col min="36" max="36" width="15.85546875" bestFit="1" customWidth="1"/>
    <col min="37" max="37" width="17.28515625" bestFit="1" customWidth="1"/>
    <col min="38" max="38" width="11.28515625" bestFit="1" customWidth="1"/>
    <col min="39" max="65" width="5.140625" bestFit="1" customWidth="1"/>
    <col min="66" max="66" width="11.28515625" bestFit="1" customWidth="1"/>
  </cols>
  <sheetData>
    <row r="2" spans="1:8" x14ac:dyDescent="0.25">
      <c r="A2" s="12" t="s">
        <v>284</v>
      </c>
      <c r="B2" s="12"/>
      <c r="D2" s="12" t="s">
        <v>297</v>
      </c>
      <c r="E2" s="12"/>
      <c r="G2" s="12" t="s">
        <v>298</v>
      </c>
      <c r="H2" s="12"/>
    </row>
    <row r="3" spans="1:8" x14ac:dyDescent="0.25">
      <c r="A3" s="2" t="s">
        <v>107</v>
      </c>
      <c r="B3" t="s">
        <v>283</v>
      </c>
      <c r="D3" s="2" t="s">
        <v>301</v>
      </c>
      <c r="E3" t="s">
        <v>302</v>
      </c>
      <c r="G3" s="2" t="s">
        <v>1</v>
      </c>
      <c r="H3" t="s">
        <v>302</v>
      </c>
    </row>
    <row r="4" spans="1:8" x14ac:dyDescent="0.25">
      <c r="A4" t="s">
        <v>149</v>
      </c>
      <c r="B4">
        <v>789</v>
      </c>
      <c r="D4" t="s">
        <v>285</v>
      </c>
      <c r="E4">
        <v>22060</v>
      </c>
      <c r="G4" t="s">
        <v>44</v>
      </c>
      <c r="H4">
        <v>6648</v>
      </c>
    </row>
    <row r="5" spans="1:8" x14ac:dyDescent="0.25">
      <c r="A5" t="s">
        <v>114</v>
      </c>
      <c r="B5">
        <v>883</v>
      </c>
      <c r="D5" t="s">
        <v>286</v>
      </c>
      <c r="E5">
        <v>1100</v>
      </c>
      <c r="G5" t="s">
        <v>36</v>
      </c>
      <c r="H5">
        <v>33314</v>
      </c>
    </row>
    <row r="6" spans="1:8" x14ac:dyDescent="0.25">
      <c r="A6" t="s">
        <v>121</v>
      </c>
      <c r="B6">
        <v>2572</v>
      </c>
      <c r="D6" t="s">
        <v>287</v>
      </c>
      <c r="E6">
        <v>25160</v>
      </c>
      <c r="G6" t="s">
        <v>65</v>
      </c>
      <c r="H6">
        <v>2490</v>
      </c>
    </row>
    <row r="7" spans="1:8" x14ac:dyDescent="0.25">
      <c r="A7" t="s">
        <v>165</v>
      </c>
      <c r="B7">
        <v>1218</v>
      </c>
      <c r="D7" t="s">
        <v>288</v>
      </c>
      <c r="E7">
        <v>18728</v>
      </c>
      <c r="G7" t="s">
        <v>19</v>
      </c>
      <c r="H7">
        <v>13805</v>
      </c>
    </row>
    <row r="8" spans="1:8" x14ac:dyDescent="0.25">
      <c r="A8" t="s">
        <v>156</v>
      </c>
      <c r="B8">
        <v>500</v>
      </c>
      <c r="D8" t="s">
        <v>289</v>
      </c>
      <c r="E8">
        <v>58425</v>
      </c>
      <c r="G8" t="s">
        <v>53</v>
      </c>
      <c r="H8">
        <v>16190</v>
      </c>
    </row>
    <row r="9" spans="1:8" x14ac:dyDescent="0.25">
      <c r="A9" t="s">
        <v>138</v>
      </c>
      <c r="B9">
        <v>990</v>
      </c>
      <c r="D9" t="s">
        <v>290</v>
      </c>
      <c r="E9">
        <v>83914</v>
      </c>
      <c r="G9" t="s">
        <v>23</v>
      </c>
      <c r="H9">
        <v>1724</v>
      </c>
    </row>
    <row r="10" spans="1:8" x14ac:dyDescent="0.25">
      <c r="A10" t="s">
        <v>145</v>
      </c>
      <c r="B10">
        <v>772</v>
      </c>
      <c r="D10" t="s">
        <v>291</v>
      </c>
      <c r="E10">
        <v>13697</v>
      </c>
      <c r="G10" t="s">
        <v>88</v>
      </c>
      <c r="H10">
        <v>57342</v>
      </c>
    </row>
    <row r="11" spans="1:8" x14ac:dyDescent="0.25">
      <c r="A11" t="s">
        <v>131</v>
      </c>
      <c r="B11">
        <v>2009</v>
      </c>
      <c r="D11" t="s">
        <v>292</v>
      </c>
      <c r="E11">
        <v>7896</v>
      </c>
      <c r="G11" t="s">
        <v>58</v>
      </c>
      <c r="H11">
        <v>18090</v>
      </c>
    </row>
    <row r="12" spans="1:8" x14ac:dyDescent="0.25">
      <c r="A12" t="s">
        <v>282</v>
      </c>
      <c r="B12">
        <v>9733</v>
      </c>
      <c r="D12" t="s">
        <v>293</v>
      </c>
      <c r="E12">
        <v>1232</v>
      </c>
      <c r="G12" t="s">
        <v>85</v>
      </c>
      <c r="H12">
        <v>23248</v>
      </c>
    </row>
    <row r="13" spans="1:8" x14ac:dyDescent="0.25">
      <c r="D13" t="s">
        <v>294</v>
      </c>
      <c r="E13">
        <v>8098</v>
      </c>
      <c r="G13" t="s">
        <v>39</v>
      </c>
      <c r="H13">
        <v>9962</v>
      </c>
    </row>
    <row r="14" spans="1:8" x14ac:dyDescent="0.25">
      <c r="D14" t="s">
        <v>295</v>
      </c>
      <c r="E14">
        <v>26959</v>
      </c>
      <c r="G14" t="s">
        <v>282</v>
      </c>
      <c r="H14">
        <v>182813</v>
      </c>
    </row>
    <row r="15" spans="1:8" x14ac:dyDescent="0.25">
      <c r="D15" t="s">
        <v>296</v>
      </c>
      <c r="E15">
        <v>14480</v>
      </c>
    </row>
    <row r="16" spans="1:8" x14ac:dyDescent="0.25">
      <c r="D16" t="s">
        <v>282</v>
      </c>
      <c r="E16">
        <v>281749</v>
      </c>
    </row>
    <row r="19" spans="1:8" x14ac:dyDescent="0.25">
      <c r="A19" s="12" t="s">
        <v>303</v>
      </c>
      <c r="B19" s="12"/>
      <c r="D19" s="12" t="s">
        <v>304</v>
      </c>
      <c r="E19" s="12"/>
      <c r="G19" s="12" t="s">
        <v>305</v>
      </c>
      <c r="H19" s="13"/>
    </row>
    <row r="20" spans="1:8" ht="30" x14ac:dyDescent="0.25">
      <c r="A20" s="2" t="s">
        <v>107</v>
      </c>
      <c r="B20" t="s">
        <v>302</v>
      </c>
      <c r="D20" s="2" t="s">
        <v>2</v>
      </c>
      <c r="E20" s="4" t="s">
        <v>300</v>
      </c>
      <c r="F20" s="4"/>
      <c r="G20" s="2" t="s">
        <v>106</v>
      </c>
      <c r="H20" t="s">
        <v>302</v>
      </c>
    </row>
    <row r="21" spans="1:8" x14ac:dyDescent="0.25">
      <c r="A21" t="s">
        <v>149</v>
      </c>
      <c r="B21">
        <v>13263</v>
      </c>
      <c r="D21" t="s">
        <v>11</v>
      </c>
      <c r="E21" s="3">
        <v>0.59375</v>
      </c>
      <c r="G21" t="s">
        <v>236</v>
      </c>
      <c r="H21">
        <v>14144</v>
      </c>
    </row>
    <row r="22" spans="1:8" x14ac:dyDescent="0.25">
      <c r="A22" t="s">
        <v>114</v>
      </c>
      <c r="B22">
        <v>28630</v>
      </c>
      <c r="D22" t="s">
        <v>7</v>
      </c>
      <c r="E22" s="3">
        <v>0.75</v>
      </c>
      <c r="G22" t="s">
        <v>127</v>
      </c>
      <c r="H22">
        <v>25436</v>
      </c>
    </row>
    <row r="23" spans="1:8" x14ac:dyDescent="0.25">
      <c r="A23" t="s">
        <v>121</v>
      </c>
      <c r="B23">
        <v>101487</v>
      </c>
      <c r="D23" t="s">
        <v>282</v>
      </c>
      <c r="E23" s="3">
        <v>1</v>
      </c>
      <c r="G23" t="s">
        <v>197</v>
      </c>
      <c r="H23">
        <v>51140</v>
      </c>
    </row>
    <row r="24" spans="1:8" x14ac:dyDescent="0.25">
      <c r="A24" t="s">
        <v>165</v>
      </c>
      <c r="B24">
        <v>22017</v>
      </c>
      <c r="G24" t="s">
        <v>224</v>
      </c>
      <c r="H24">
        <v>19900</v>
      </c>
    </row>
    <row r="25" spans="1:8" x14ac:dyDescent="0.25">
      <c r="A25" t="s">
        <v>156</v>
      </c>
      <c r="B25">
        <v>14626</v>
      </c>
      <c r="G25" t="s">
        <v>176</v>
      </c>
      <c r="H25">
        <v>21600</v>
      </c>
    </row>
    <row r="26" spans="1:8" x14ac:dyDescent="0.25">
      <c r="A26" t="s">
        <v>138</v>
      </c>
      <c r="B26">
        <v>32796</v>
      </c>
      <c r="G26" t="s">
        <v>137</v>
      </c>
      <c r="H26">
        <v>15240</v>
      </c>
    </row>
    <row r="27" spans="1:8" x14ac:dyDescent="0.25">
      <c r="A27" t="s">
        <v>145</v>
      </c>
      <c r="B27">
        <v>21600</v>
      </c>
      <c r="G27" t="s">
        <v>185</v>
      </c>
      <c r="H27">
        <v>17556</v>
      </c>
    </row>
    <row r="28" spans="1:8" x14ac:dyDescent="0.25">
      <c r="A28" t="s">
        <v>131</v>
      </c>
      <c r="B28">
        <v>47330</v>
      </c>
      <c r="G28" t="s">
        <v>134</v>
      </c>
      <c r="H28">
        <v>9006</v>
      </c>
    </row>
    <row r="29" spans="1:8" x14ac:dyDescent="0.25">
      <c r="A29" t="s">
        <v>282</v>
      </c>
      <c r="B29">
        <v>281749</v>
      </c>
      <c r="G29" t="s">
        <v>206</v>
      </c>
      <c r="H29">
        <v>10072</v>
      </c>
    </row>
    <row r="30" spans="1:8" x14ac:dyDescent="0.25">
      <c r="G30" t="s">
        <v>173</v>
      </c>
      <c r="H30">
        <v>17600</v>
      </c>
    </row>
    <row r="31" spans="1:8" x14ac:dyDescent="0.25">
      <c r="G31" t="s">
        <v>282</v>
      </c>
      <c r="H31">
        <v>201694</v>
      </c>
    </row>
  </sheetData>
  <mergeCells count="6">
    <mergeCell ref="A2:B2"/>
    <mergeCell ref="D2:E2"/>
    <mergeCell ref="G2:H2"/>
    <mergeCell ref="A19:B19"/>
    <mergeCell ref="D19:E19"/>
    <mergeCell ref="G19:H19"/>
  </mergeCell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1261-9B73-4627-96B8-386577C4A72B}">
  <dimension ref="A1:K41"/>
  <sheetViews>
    <sheetView tabSelected="1" topLeftCell="A9" zoomScale="85" zoomScaleNormal="85" workbookViewId="0">
      <selection activeCell="F23" sqref="F23"/>
    </sheetView>
  </sheetViews>
  <sheetFormatPr defaultRowHeight="15" x14ac:dyDescent="0.25"/>
  <cols>
    <col min="1" max="1" width="10" bestFit="1" customWidth="1"/>
    <col min="2" max="2" width="13.7109375" bestFit="1" customWidth="1"/>
    <col min="3" max="3" width="9.7109375" bestFit="1" customWidth="1"/>
    <col min="4" max="4" width="11" bestFit="1" customWidth="1"/>
    <col min="5" max="5" width="14.85546875" style="11" customWidth="1"/>
    <col min="6" max="6" width="15.7109375" style="9" customWidth="1"/>
    <col min="7" max="7" width="11.7109375" style="8" bestFit="1" customWidth="1"/>
    <col min="8" max="8" width="24.5703125" style="7" customWidth="1"/>
    <col min="9" max="9" width="11.5703125" style="1" bestFit="1" customWidth="1"/>
    <col min="10" max="10" width="11.7109375" bestFit="1" customWidth="1"/>
  </cols>
  <sheetData>
    <row r="1" spans="1:11" x14ac:dyDescent="0.25">
      <c r="A1" t="s">
        <v>237</v>
      </c>
      <c r="B1" t="s">
        <v>0</v>
      </c>
      <c r="C1" t="s">
        <v>104</v>
      </c>
      <c r="D1" t="s">
        <v>238</v>
      </c>
      <c r="E1" s="11" t="s">
        <v>239</v>
      </c>
      <c r="F1" s="9" t="s">
        <v>240</v>
      </c>
      <c r="G1" s="8" t="s">
        <v>108</v>
      </c>
      <c r="H1" s="6" t="s">
        <v>241</v>
      </c>
      <c r="I1" s="10" t="s">
        <v>299</v>
      </c>
    </row>
    <row r="2" spans="1:11" x14ac:dyDescent="0.25">
      <c r="A2" t="s">
        <v>242</v>
      </c>
      <c r="B2" t="s">
        <v>56</v>
      </c>
      <c r="C2" t="s">
        <v>125</v>
      </c>
      <c r="D2">
        <v>239</v>
      </c>
      <c r="E2" s="11">
        <v>45786</v>
      </c>
      <c r="F2" s="9">
        <f>Sales[[#This Row],[Quantity]]*Drugs[[#This Row],[UnitPrice]]</f>
        <v>2868</v>
      </c>
      <c r="G2" s="8">
        <v>12</v>
      </c>
      <c r="H2" s="7">
        <f>(Drugs[[#This Row],[UnitPrice]]-Drugs[[#This Row],[CostPrice]])*Sales[[#This Row],[Quantity]]</f>
        <v>1434</v>
      </c>
      <c r="I2" s="1" t="str">
        <f t="shared" ref="I2:I41" si="0">TEXT(E2,"mmm")</f>
        <v>May</v>
      </c>
      <c r="K2" s="5"/>
    </row>
    <row r="3" spans="1:11" x14ac:dyDescent="0.25">
      <c r="A3" t="s">
        <v>243</v>
      </c>
      <c r="B3" t="s">
        <v>80</v>
      </c>
      <c r="C3" t="s">
        <v>204</v>
      </c>
      <c r="D3">
        <v>463</v>
      </c>
      <c r="E3" s="11">
        <v>45787</v>
      </c>
      <c r="F3" s="9">
        <f>Sales[[#This Row],[Quantity]]*Drugs[[#This Row],[UnitPrice]]</f>
        <v>8334</v>
      </c>
      <c r="G3" s="8">
        <v>18</v>
      </c>
      <c r="H3" s="7">
        <f>(Drugs[[#This Row],[UnitPrice]]-Drugs[[#This Row],[CostPrice]])*Sales[[#This Row],[Quantity]]</f>
        <v>4167</v>
      </c>
      <c r="I3" s="1" t="str">
        <f t="shared" si="0"/>
        <v>May</v>
      </c>
      <c r="K3" s="5"/>
    </row>
    <row r="4" spans="1:11" x14ac:dyDescent="0.25">
      <c r="A4" t="s">
        <v>244</v>
      </c>
      <c r="B4" t="s">
        <v>9</v>
      </c>
      <c r="C4" t="s">
        <v>135</v>
      </c>
      <c r="D4">
        <v>404</v>
      </c>
      <c r="E4" s="11">
        <v>45970</v>
      </c>
      <c r="F4" s="9">
        <f>Sales[[#This Row],[Quantity]]*Drugs[[#This Row],[UnitPrice]]</f>
        <v>14140</v>
      </c>
      <c r="G4" s="8">
        <v>35</v>
      </c>
      <c r="H4" s="7">
        <f>(Drugs[[#This Row],[UnitPrice]]-Drugs[[#This Row],[CostPrice]])*Sales[[#This Row],[Quantity]]</f>
        <v>6060</v>
      </c>
      <c r="I4" s="1" t="str">
        <f t="shared" si="0"/>
        <v>Nov</v>
      </c>
      <c r="K4" s="5"/>
    </row>
    <row r="5" spans="1:11" x14ac:dyDescent="0.25">
      <c r="A5" t="s">
        <v>245</v>
      </c>
      <c r="B5" t="s">
        <v>51</v>
      </c>
      <c r="C5" t="s">
        <v>128</v>
      </c>
      <c r="D5">
        <v>57</v>
      </c>
      <c r="E5" s="11">
        <v>45857</v>
      </c>
      <c r="F5" s="9">
        <f>Sales[[#This Row],[Quantity]]*Drugs[[#This Row],[UnitPrice]]</f>
        <v>2736</v>
      </c>
      <c r="G5" s="8">
        <v>48</v>
      </c>
      <c r="H5" s="7">
        <f>(Drugs[[#This Row],[UnitPrice]]-Drugs[[#This Row],[CostPrice]])*Sales[[#This Row],[Quantity]]</f>
        <v>1026</v>
      </c>
      <c r="I5" s="1" t="str">
        <f t="shared" si="0"/>
        <v>Jul</v>
      </c>
      <c r="K5" s="5"/>
    </row>
    <row r="6" spans="1:11" x14ac:dyDescent="0.25">
      <c r="A6" t="s">
        <v>246</v>
      </c>
      <c r="B6" t="s">
        <v>56</v>
      </c>
      <c r="C6" t="s">
        <v>183</v>
      </c>
      <c r="D6">
        <v>84</v>
      </c>
      <c r="E6" s="11">
        <v>45991</v>
      </c>
      <c r="F6" s="9">
        <f>Sales[[#This Row],[Quantity]]*Drugs[[#This Row],[UnitPrice]]</f>
        <v>4620</v>
      </c>
      <c r="G6" s="8">
        <v>55</v>
      </c>
      <c r="H6" s="7">
        <f>(Drugs[[#This Row],[UnitPrice]]-Drugs[[#This Row],[CostPrice]])*Sales[[#This Row],[Quantity]]</f>
        <v>1680</v>
      </c>
      <c r="I6" s="1" t="str">
        <f t="shared" si="0"/>
        <v>Nov</v>
      </c>
      <c r="K6" s="5"/>
    </row>
    <row r="7" spans="1:11" x14ac:dyDescent="0.25">
      <c r="A7" t="s">
        <v>247</v>
      </c>
      <c r="B7" t="s">
        <v>22</v>
      </c>
      <c r="C7" t="s">
        <v>135</v>
      </c>
      <c r="D7">
        <v>110</v>
      </c>
      <c r="E7" s="11">
        <v>45700</v>
      </c>
      <c r="F7" s="9">
        <f>Sales[[#This Row],[Quantity]]*Drugs[[#This Row],[UnitPrice]]</f>
        <v>1100</v>
      </c>
      <c r="G7" s="8">
        <v>10</v>
      </c>
      <c r="H7" s="7">
        <f>(Drugs[[#This Row],[UnitPrice]]-Drugs[[#This Row],[CostPrice]])*Sales[[#This Row],[Quantity]]</f>
        <v>550</v>
      </c>
      <c r="I7" s="1" t="str">
        <f t="shared" si="0"/>
        <v>Feb</v>
      </c>
      <c r="K7" s="5"/>
    </row>
    <row r="8" spans="1:11" x14ac:dyDescent="0.25">
      <c r="A8" t="s">
        <v>248</v>
      </c>
      <c r="B8" t="s">
        <v>28</v>
      </c>
      <c r="C8" t="s">
        <v>225</v>
      </c>
      <c r="D8">
        <v>249</v>
      </c>
      <c r="E8" s="11">
        <v>45768</v>
      </c>
      <c r="F8" s="9">
        <f>Sales[[#This Row],[Quantity]]*Drugs[[#This Row],[UnitPrice]]</f>
        <v>4980</v>
      </c>
      <c r="G8" s="8">
        <v>20</v>
      </c>
      <c r="H8" s="7">
        <f>(Drugs[[#This Row],[UnitPrice]]-Drugs[[#This Row],[CostPrice]])*Sales[[#This Row],[Quantity]]</f>
        <v>2490</v>
      </c>
      <c r="I8" s="1" t="str">
        <f t="shared" si="0"/>
        <v>Apr</v>
      </c>
      <c r="K8" s="5"/>
    </row>
    <row r="9" spans="1:11" x14ac:dyDescent="0.25">
      <c r="A9" t="s">
        <v>249</v>
      </c>
      <c r="B9" t="s">
        <v>103</v>
      </c>
      <c r="C9" t="s">
        <v>186</v>
      </c>
      <c r="D9">
        <v>211</v>
      </c>
      <c r="E9" s="11">
        <v>45823</v>
      </c>
      <c r="F9" s="9">
        <f>Sales[[#This Row],[Quantity]]*Drugs[[#This Row],[UnitPrice]]</f>
        <v>4642</v>
      </c>
      <c r="G9" s="8">
        <v>22</v>
      </c>
      <c r="H9" s="7">
        <f>(Drugs[[#This Row],[UnitPrice]]-Drugs[[#This Row],[CostPrice]])*Sales[[#This Row],[Quantity]]</f>
        <v>2110</v>
      </c>
      <c r="I9" s="1" t="str">
        <f t="shared" si="0"/>
        <v>Jun</v>
      </c>
      <c r="K9" s="5"/>
    </row>
    <row r="10" spans="1:11" x14ac:dyDescent="0.25">
      <c r="A10" t="s">
        <v>250</v>
      </c>
      <c r="B10" t="s">
        <v>38</v>
      </c>
      <c r="C10" t="s">
        <v>216</v>
      </c>
      <c r="D10">
        <v>485</v>
      </c>
      <c r="E10" s="11">
        <v>46020</v>
      </c>
      <c r="F10" s="9">
        <f>Sales[[#This Row],[Quantity]]*Drugs[[#This Row],[UnitPrice]]</f>
        <v>8730</v>
      </c>
      <c r="G10" s="8">
        <v>18</v>
      </c>
      <c r="H10" s="7">
        <f>(Drugs[[#This Row],[UnitPrice]]-Drugs[[#This Row],[CostPrice]])*Sales[[#This Row],[Quantity]]</f>
        <v>3880</v>
      </c>
      <c r="I10" s="1" t="str">
        <f t="shared" si="0"/>
        <v>Dec</v>
      </c>
      <c r="K10" s="5"/>
    </row>
    <row r="11" spans="1:11" x14ac:dyDescent="0.25">
      <c r="A11" t="s">
        <v>251</v>
      </c>
      <c r="B11" t="s">
        <v>94</v>
      </c>
      <c r="C11" t="s">
        <v>195</v>
      </c>
      <c r="D11">
        <v>304</v>
      </c>
      <c r="E11" s="11">
        <v>45784</v>
      </c>
      <c r="F11" s="9">
        <f>Sales[[#This Row],[Quantity]]*Drugs[[#This Row],[UnitPrice]]</f>
        <v>1520</v>
      </c>
      <c r="G11" s="8">
        <v>5</v>
      </c>
      <c r="H11" s="7">
        <f>(Drugs[[#This Row],[UnitPrice]]-Drugs[[#This Row],[CostPrice]])*Sales[[#This Row],[Quantity]]</f>
        <v>608</v>
      </c>
      <c r="I11" s="1" t="str">
        <f t="shared" si="0"/>
        <v>May</v>
      </c>
      <c r="K11" s="5"/>
    </row>
    <row r="12" spans="1:11" x14ac:dyDescent="0.25">
      <c r="A12" t="s">
        <v>252</v>
      </c>
      <c r="B12" t="s">
        <v>41</v>
      </c>
      <c r="C12" t="s">
        <v>192</v>
      </c>
      <c r="D12">
        <v>126</v>
      </c>
      <c r="E12" s="11">
        <v>45766</v>
      </c>
      <c r="F12" s="9">
        <f>Sales[[#This Row],[Quantity]]*Drugs[[#This Row],[UnitPrice]]</f>
        <v>1008</v>
      </c>
      <c r="G12" s="8">
        <v>8</v>
      </c>
      <c r="H12" s="7">
        <f>(Drugs[[#This Row],[UnitPrice]]-Drugs[[#This Row],[CostPrice]])*Sales[[#This Row],[Quantity]]</f>
        <v>504</v>
      </c>
      <c r="I12" s="1" t="str">
        <f t="shared" si="0"/>
        <v>Apr</v>
      </c>
      <c r="K12" s="5"/>
    </row>
    <row r="13" spans="1:11" x14ac:dyDescent="0.25">
      <c r="A13" t="s">
        <v>253</v>
      </c>
      <c r="B13" t="s">
        <v>15</v>
      </c>
      <c r="C13" t="s">
        <v>234</v>
      </c>
      <c r="D13">
        <v>117</v>
      </c>
      <c r="E13" s="11">
        <v>45813</v>
      </c>
      <c r="F13" s="9">
        <f>Sales[[#This Row],[Quantity]]*Drugs[[#This Row],[UnitPrice]]</f>
        <v>1404</v>
      </c>
      <c r="G13" s="8">
        <v>12</v>
      </c>
      <c r="H13" s="7">
        <f>(Drugs[[#This Row],[UnitPrice]]-Drugs[[#This Row],[CostPrice]])*Sales[[#This Row],[Quantity]]</f>
        <v>702</v>
      </c>
      <c r="I13" s="1" t="str">
        <f t="shared" si="0"/>
        <v>Jun</v>
      </c>
      <c r="K13" s="5"/>
    </row>
    <row r="14" spans="1:11" x14ac:dyDescent="0.25">
      <c r="A14" t="s">
        <v>254</v>
      </c>
      <c r="B14" t="s">
        <v>12</v>
      </c>
      <c r="C14" t="s">
        <v>146</v>
      </c>
      <c r="D14">
        <v>303</v>
      </c>
      <c r="E14" s="11">
        <v>45985</v>
      </c>
      <c r="F14" s="9">
        <f>Sales[[#This Row],[Quantity]]*Drugs[[#This Row],[UnitPrice]]</f>
        <v>7575</v>
      </c>
      <c r="G14" s="8">
        <v>25</v>
      </c>
      <c r="H14" s="7">
        <f>(Drugs[[#This Row],[UnitPrice]]-Drugs[[#This Row],[CostPrice]])*Sales[[#This Row],[Quantity]]</f>
        <v>3030</v>
      </c>
      <c r="I14" s="1" t="str">
        <f t="shared" si="0"/>
        <v>Nov</v>
      </c>
      <c r="K14" s="5"/>
    </row>
    <row r="15" spans="1:11" x14ac:dyDescent="0.25">
      <c r="A15" t="s">
        <v>255</v>
      </c>
      <c r="B15" t="s">
        <v>32</v>
      </c>
      <c r="C15" t="s">
        <v>172</v>
      </c>
      <c r="D15">
        <v>395</v>
      </c>
      <c r="E15" s="11">
        <v>45717</v>
      </c>
      <c r="F15" s="9">
        <f>Sales[[#This Row],[Quantity]]*Drugs[[#This Row],[UnitPrice]]</f>
        <v>11850</v>
      </c>
      <c r="G15" s="8">
        <v>30</v>
      </c>
      <c r="H15" s="7">
        <f>(Drugs[[#This Row],[UnitPrice]]-Drugs[[#This Row],[CostPrice]])*Sales[[#This Row],[Quantity]]</f>
        <v>4740</v>
      </c>
      <c r="I15" s="1" t="str">
        <f t="shared" si="0"/>
        <v>Mar</v>
      </c>
      <c r="K15" s="5"/>
    </row>
    <row r="16" spans="1:11" x14ac:dyDescent="0.25">
      <c r="A16" t="s">
        <v>256</v>
      </c>
      <c r="B16" t="s">
        <v>102</v>
      </c>
      <c r="C16" t="s">
        <v>195</v>
      </c>
      <c r="D16">
        <v>236</v>
      </c>
      <c r="E16" s="11">
        <v>45824</v>
      </c>
      <c r="F16" s="9">
        <f>Sales[[#This Row],[Quantity]]*Drugs[[#This Row],[UnitPrice]]</f>
        <v>35400</v>
      </c>
      <c r="G16" s="8">
        <v>150</v>
      </c>
      <c r="H16" s="7">
        <f>(Drugs[[#This Row],[UnitPrice]]-Drugs[[#This Row],[CostPrice]])*Sales[[#This Row],[Quantity]]</f>
        <v>11800</v>
      </c>
      <c r="I16" s="1" t="str">
        <f t="shared" si="0"/>
        <v>Jun</v>
      </c>
      <c r="K16" s="5"/>
    </row>
    <row r="17" spans="1:11" x14ac:dyDescent="0.25">
      <c r="A17" t="s">
        <v>257</v>
      </c>
      <c r="B17" t="s">
        <v>43</v>
      </c>
      <c r="C17" t="s">
        <v>118</v>
      </c>
      <c r="D17">
        <v>140</v>
      </c>
      <c r="E17" s="11">
        <v>45945</v>
      </c>
      <c r="F17" s="9">
        <f>Sales[[#This Row],[Quantity]]*Drugs[[#This Row],[UnitPrice]]</f>
        <v>1680</v>
      </c>
      <c r="G17" s="8">
        <v>12</v>
      </c>
      <c r="H17" s="7">
        <f>(Drugs[[#This Row],[UnitPrice]]-Drugs[[#This Row],[CostPrice]])*Sales[[#This Row],[Quantity]]</f>
        <v>840</v>
      </c>
      <c r="I17" s="1" t="str">
        <f t="shared" si="0"/>
        <v>Oct</v>
      </c>
      <c r="K17" s="5"/>
    </row>
    <row r="18" spans="1:11" x14ac:dyDescent="0.25">
      <c r="A18" t="s">
        <v>258</v>
      </c>
      <c r="B18" t="s">
        <v>20</v>
      </c>
      <c r="C18" t="s">
        <v>153</v>
      </c>
      <c r="D18">
        <v>224</v>
      </c>
      <c r="E18" s="11">
        <v>45674</v>
      </c>
      <c r="F18" s="9">
        <f>Sales[[#This Row],[Quantity]]*Drugs[[#This Row],[UnitPrice]]</f>
        <v>7840</v>
      </c>
      <c r="G18" s="8">
        <v>35</v>
      </c>
      <c r="H18" s="7">
        <f>(Drugs[[#This Row],[UnitPrice]]-Drugs[[#This Row],[CostPrice]])*Sales[[#This Row],[Quantity]]</f>
        <v>2912</v>
      </c>
      <c r="I18" s="1" t="str">
        <f t="shared" si="0"/>
        <v>Jan</v>
      </c>
      <c r="K18" s="5"/>
    </row>
    <row r="19" spans="1:11" x14ac:dyDescent="0.25">
      <c r="A19" t="s">
        <v>259</v>
      </c>
      <c r="B19" t="s">
        <v>43</v>
      </c>
      <c r="C19" t="s">
        <v>174</v>
      </c>
      <c r="D19">
        <v>117</v>
      </c>
      <c r="E19" s="11">
        <v>45884</v>
      </c>
      <c r="F19" s="9">
        <f>Sales[[#This Row],[Quantity]]*Drugs[[#This Row],[UnitPrice]]</f>
        <v>3510</v>
      </c>
      <c r="G19" s="8">
        <v>30</v>
      </c>
      <c r="H19" s="7">
        <f>(Drugs[[#This Row],[UnitPrice]]-Drugs[[#This Row],[CostPrice]])*Sales[[#This Row],[Quantity]]</f>
        <v>1404</v>
      </c>
      <c r="I19" s="1" t="str">
        <f t="shared" si="0"/>
        <v>Aug</v>
      </c>
      <c r="K19" s="5"/>
    </row>
    <row r="20" spans="1:11" x14ac:dyDescent="0.25">
      <c r="A20" t="s">
        <v>260</v>
      </c>
      <c r="B20" t="s">
        <v>64</v>
      </c>
      <c r="C20" t="s">
        <v>118</v>
      </c>
      <c r="D20">
        <v>166</v>
      </c>
      <c r="E20" s="11">
        <v>45780</v>
      </c>
      <c r="F20" s="9">
        <f>Sales[[#This Row],[Quantity]]*Drugs[[#This Row],[UnitPrice]]</f>
        <v>2490</v>
      </c>
      <c r="G20" s="8">
        <v>15</v>
      </c>
      <c r="H20" s="7">
        <f>(Drugs[[#This Row],[UnitPrice]]-Drugs[[#This Row],[CostPrice]])*Sales[[#This Row],[Quantity]]</f>
        <v>1162</v>
      </c>
      <c r="I20" s="1" t="str">
        <f t="shared" si="0"/>
        <v>May</v>
      </c>
      <c r="K20" s="5"/>
    </row>
    <row r="21" spans="1:11" x14ac:dyDescent="0.25">
      <c r="A21" t="s">
        <v>261</v>
      </c>
      <c r="B21" t="s">
        <v>22</v>
      </c>
      <c r="C21" t="s">
        <v>128</v>
      </c>
      <c r="D21">
        <v>104</v>
      </c>
      <c r="E21" s="11">
        <v>45988</v>
      </c>
      <c r="F21" s="9">
        <f>Sales[[#This Row],[Quantity]]*Drugs[[#This Row],[UnitPrice]]</f>
        <v>624</v>
      </c>
      <c r="G21" s="8">
        <v>6</v>
      </c>
      <c r="H21" s="7">
        <f>(Drugs[[#This Row],[UnitPrice]]-Drugs[[#This Row],[CostPrice]])*Sales[[#This Row],[Quantity]]</f>
        <v>312</v>
      </c>
      <c r="I21" s="1" t="str">
        <f t="shared" si="0"/>
        <v>Nov</v>
      </c>
      <c r="K21" s="5"/>
    </row>
    <row r="22" spans="1:11" x14ac:dyDescent="0.25">
      <c r="A22" t="s">
        <v>262</v>
      </c>
      <c r="B22" t="s">
        <v>5</v>
      </c>
      <c r="C22" t="s">
        <v>150</v>
      </c>
      <c r="D22">
        <v>360</v>
      </c>
      <c r="E22" s="11">
        <v>45944</v>
      </c>
      <c r="F22" s="9">
        <f>Sales[[#This Row],[Quantity]]*Drugs[[#This Row],[UnitPrice]]</f>
        <v>4680</v>
      </c>
      <c r="G22" s="8">
        <v>13</v>
      </c>
      <c r="H22" s="7">
        <f>(Drugs[[#This Row],[UnitPrice]]-Drugs[[#This Row],[CostPrice]])*Sales[[#This Row],[Quantity]]</f>
        <v>2880</v>
      </c>
      <c r="I22" s="1" t="str">
        <f t="shared" si="0"/>
        <v>Oct</v>
      </c>
    </row>
    <row r="23" spans="1:11" x14ac:dyDescent="0.25">
      <c r="A23" t="s">
        <v>263</v>
      </c>
      <c r="B23" t="s">
        <v>25</v>
      </c>
      <c r="C23" t="s">
        <v>225</v>
      </c>
      <c r="D23">
        <v>60</v>
      </c>
      <c r="E23" s="11">
        <v>45745</v>
      </c>
      <c r="F23" s="9">
        <f>Sales[[#This Row],[Quantity]]*Drugs[[#This Row],[UnitPrice]]</f>
        <v>1080</v>
      </c>
      <c r="G23" s="8">
        <v>18</v>
      </c>
      <c r="H23" s="7">
        <f>(Drugs[[#This Row],[UnitPrice]]-Drugs[[#This Row],[CostPrice]])*Sales[[#This Row],[Quantity]]</f>
        <v>780</v>
      </c>
      <c r="I23" s="1" t="str">
        <f t="shared" si="0"/>
        <v>Mar</v>
      </c>
    </row>
    <row r="24" spans="1:11" x14ac:dyDescent="0.25">
      <c r="A24" t="s">
        <v>264</v>
      </c>
      <c r="B24" t="s">
        <v>62</v>
      </c>
      <c r="C24" t="s">
        <v>157</v>
      </c>
      <c r="D24">
        <v>222</v>
      </c>
      <c r="E24" s="11">
        <v>45724</v>
      </c>
      <c r="F24" s="9">
        <f>Sales[[#This Row],[Quantity]]*Drugs[[#This Row],[UnitPrice]]</f>
        <v>5328</v>
      </c>
      <c r="G24" s="8">
        <v>24</v>
      </c>
      <c r="H24" s="7">
        <f>(Drugs[[#This Row],[UnitPrice]]-Drugs[[#This Row],[CostPrice]])*Sales[[#This Row],[Quantity]]</f>
        <v>2664</v>
      </c>
      <c r="I24" s="1" t="str">
        <f t="shared" si="0"/>
        <v>Mar</v>
      </c>
    </row>
    <row r="25" spans="1:11" x14ac:dyDescent="0.25">
      <c r="A25" t="s">
        <v>265</v>
      </c>
      <c r="B25" t="s">
        <v>52</v>
      </c>
      <c r="C25" t="s">
        <v>234</v>
      </c>
      <c r="D25">
        <v>245</v>
      </c>
      <c r="E25" s="11">
        <v>45770</v>
      </c>
      <c r="F25" s="9">
        <f>Sales[[#This Row],[Quantity]]*Drugs[[#This Row],[UnitPrice]]</f>
        <v>12740</v>
      </c>
      <c r="G25" s="8">
        <v>52</v>
      </c>
      <c r="H25" s="7">
        <f>(Drugs[[#This Row],[UnitPrice]]-Drugs[[#This Row],[CostPrice]])*Sales[[#This Row],[Quantity]]</f>
        <v>5390</v>
      </c>
      <c r="I25" s="1" t="str">
        <f t="shared" si="0"/>
        <v>Apr</v>
      </c>
    </row>
    <row r="26" spans="1:11" x14ac:dyDescent="0.25">
      <c r="A26" t="s">
        <v>266</v>
      </c>
      <c r="B26" t="s">
        <v>103</v>
      </c>
      <c r="C26" t="s">
        <v>228</v>
      </c>
      <c r="D26">
        <v>129</v>
      </c>
      <c r="E26" s="11">
        <v>45887</v>
      </c>
      <c r="F26" s="9">
        <f>Sales[[#This Row],[Quantity]]*Drugs[[#This Row],[UnitPrice]]</f>
        <v>4386</v>
      </c>
      <c r="G26" s="8">
        <v>34</v>
      </c>
      <c r="H26" s="7">
        <f>(Drugs[[#This Row],[UnitPrice]]-Drugs[[#This Row],[CostPrice]])*Sales[[#This Row],[Quantity]]</f>
        <v>2064</v>
      </c>
      <c r="I26" s="1" t="str">
        <f t="shared" si="0"/>
        <v>Aug</v>
      </c>
    </row>
    <row r="27" spans="1:11" x14ac:dyDescent="0.25">
      <c r="A27" t="s">
        <v>267</v>
      </c>
      <c r="B27" t="s">
        <v>90</v>
      </c>
      <c r="C27" t="s">
        <v>228</v>
      </c>
      <c r="D27">
        <v>345</v>
      </c>
      <c r="E27" s="11">
        <v>45793</v>
      </c>
      <c r="F27" s="9">
        <f>Sales[[#This Row],[Quantity]]*Drugs[[#This Row],[UnitPrice]]</f>
        <v>3450</v>
      </c>
      <c r="G27" s="8">
        <v>10</v>
      </c>
      <c r="H27" s="7">
        <f>(Drugs[[#This Row],[UnitPrice]]-Drugs[[#This Row],[CostPrice]])*Sales[[#This Row],[Quantity]]</f>
        <v>2070</v>
      </c>
      <c r="I27" s="1" t="str">
        <f t="shared" si="0"/>
        <v>May</v>
      </c>
    </row>
    <row r="28" spans="1:11" x14ac:dyDescent="0.25">
      <c r="A28" t="s">
        <v>268</v>
      </c>
      <c r="B28" t="s">
        <v>92</v>
      </c>
      <c r="C28" t="s">
        <v>222</v>
      </c>
      <c r="D28">
        <v>398</v>
      </c>
      <c r="E28" s="11">
        <v>45829</v>
      </c>
      <c r="F28" s="9">
        <f>Sales[[#This Row],[Quantity]]*Drugs[[#This Row],[UnitPrice]]</f>
        <v>19900</v>
      </c>
      <c r="G28" s="8">
        <v>50</v>
      </c>
      <c r="H28" s="7">
        <f>(Drugs[[#This Row],[UnitPrice]]-Drugs[[#This Row],[CostPrice]])*Sales[[#This Row],[Quantity]]</f>
        <v>7960</v>
      </c>
      <c r="I28" s="1" t="str">
        <f t="shared" si="0"/>
        <v>Jun</v>
      </c>
    </row>
    <row r="29" spans="1:11" x14ac:dyDescent="0.25">
      <c r="A29" t="s">
        <v>269</v>
      </c>
      <c r="B29" t="s">
        <v>94</v>
      </c>
      <c r="C29" t="s">
        <v>125</v>
      </c>
      <c r="D29">
        <v>434</v>
      </c>
      <c r="E29" s="11">
        <v>45833</v>
      </c>
      <c r="F29" s="9">
        <f>Sales[[#This Row],[Quantity]]*Drugs[[#This Row],[UnitPrice]]</f>
        <v>22568</v>
      </c>
      <c r="G29" s="8">
        <v>52</v>
      </c>
      <c r="H29" s="7">
        <f>(Drugs[[#This Row],[UnitPrice]]-Drugs[[#This Row],[CostPrice]])*Sales[[#This Row],[Quantity]]</f>
        <v>9548</v>
      </c>
      <c r="I29" s="1" t="str">
        <f t="shared" si="0"/>
        <v>Jun</v>
      </c>
    </row>
    <row r="30" spans="1:11" x14ac:dyDescent="0.25">
      <c r="A30" t="s">
        <v>270</v>
      </c>
      <c r="B30" t="s">
        <v>86</v>
      </c>
      <c r="C30" t="s">
        <v>213</v>
      </c>
      <c r="D30">
        <v>56</v>
      </c>
      <c r="E30" s="11">
        <v>45921</v>
      </c>
      <c r="F30" s="9">
        <f>Sales[[#This Row],[Quantity]]*Drugs[[#This Row],[UnitPrice]]</f>
        <v>1232</v>
      </c>
      <c r="G30" s="8">
        <v>22</v>
      </c>
      <c r="H30" s="7">
        <f>(Drugs[[#This Row],[UnitPrice]]-Drugs[[#This Row],[CostPrice]])*Sales[[#This Row],[Quantity]]</f>
        <v>672</v>
      </c>
      <c r="I30" s="1" t="str">
        <f t="shared" si="0"/>
        <v>Sep</v>
      </c>
    </row>
    <row r="31" spans="1:11" x14ac:dyDescent="0.25">
      <c r="A31" t="s">
        <v>271</v>
      </c>
      <c r="B31" t="s">
        <v>66</v>
      </c>
      <c r="C31" t="s">
        <v>157</v>
      </c>
      <c r="D31">
        <v>54</v>
      </c>
      <c r="E31" s="11">
        <v>45793</v>
      </c>
      <c r="F31" s="9">
        <f>Sales[[#This Row],[Quantity]]*Drugs[[#This Row],[UnitPrice]]</f>
        <v>1458</v>
      </c>
      <c r="G31" s="8">
        <v>27</v>
      </c>
      <c r="H31" s="7">
        <f>(Drugs[[#This Row],[UnitPrice]]-Drugs[[#This Row],[CostPrice]])*Sales[[#This Row],[Quantity]]</f>
        <v>918</v>
      </c>
      <c r="I31" s="1" t="str">
        <f t="shared" si="0"/>
        <v>May</v>
      </c>
    </row>
    <row r="32" spans="1:11" x14ac:dyDescent="0.25">
      <c r="A32" t="s">
        <v>272</v>
      </c>
      <c r="B32" t="s">
        <v>94</v>
      </c>
      <c r="C32" t="s">
        <v>204</v>
      </c>
      <c r="D32">
        <v>158</v>
      </c>
      <c r="E32" s="11">
        <v>45934</v>
      </c>
      <c r="F32" s="9">
        <f>Sales[[#This Row],[Quantity]]*Drugs[[#This Row],[UnitPrice]]</f>
        <v>1738</v>
      </c>
      <c r="G32" s="8">
        <v>11</v>
      </c>
      <c r="H32" s="7">
        <f>(Drugs[[#This Row],[UnitPrice]]-Drugs[[#This Row],[CostPrice]])*Sales[[#This Row],[Quantity]]</f>
        <v>948</v>
      </c>
      <c r="I32" s="1" t="str">
        <f t="shared" si="0"/>
        <v>Oct</v>
      </c>
    </row>
    <row r="33" spans="1:9" x14ac:dyDescent="0.25">
      <c r="A33" t="s">
        <v>273</v>
      </c>
      <c r="B33" t="s">
        <v>96</v>
      </c>
      <c r="C33" t="s">
        <v>172</v>
      </c>
      <c r="D33">
        <v>230</v>
      </c>
      <c r="E33" s="11">
        <v>45993</v>
      </c>
      <c r="F33" s="9">
        <f>Sales[[#This Row],[Quantity]]*Drugs[[#This Row],[UnitPrice]]</f>
        <v>5750</v>
      </c>
      <c r="G33" s="8">
        <v>25</v>
      </c>
      <c r="H33" s="7">
        <f>(Drugs[[#This Row],[UnitPrice]]-Drugs[[#This Row],[CostPrice]])*Sales[[#This Row],[Quantity]]</f>
        <v>3450</v>
      </c>
      <c r="I33" s="1" t="str">
        <f t="shared" si="0"/>
        <v>Dec</v>
      </c>
    </row>
    <row r="34" spans="1:9" x14ac:dyDescent="0.25">
      <c r="A34" t="s">
        <v>274</v>
      </c>
      <c r="B34" t="s">
        <v>60</v>
      </c>
      <c r="C34" t="s">
        <v>162</v>
      </c>
      <c r="D34">
        <v>251</v>
      </c>
      <c r="E34" s="11">
        <v>45794</v>
      </c>
      <c r="F34" s="9">
        <f>Sales[[#This Row],[Quantity]]*Drugs[[#This Row],[UnitPrice]]</f>
        <v>7279</v>
      </c>
      <c r="G34" s="8">
        <v>29</v>
      </c>
      <c r="H34" s="7">
        <f>(Drugs[[#This Row],[UnitPrice]]-Drugs[[#This Row],[CostPrice]])*Sales[[#This Row],[Quantity]]</f>
        <v>4769</v>
      </c>
      <c r="I34" s="1" t="str">
        <f t="shared" si="0"/>
        <v>May</v>
      </c>
    </row>
    <row r="35" spans="1:9" x14ac:dyDescent="0.25">
      <c r="A35" t="s">
        <v>275</v>
      </c>
      <c r="B35" t="s">
        <v>32</v>
      </c>
      <c r="C35" t="s">
        <v>186</v>
      </c>
      <c r="D35">
        <v>85</v>
      </c>
      <c r="E35" s="11">
        <v>45846</v>
      </c>
      <c r="F35" s="9">
        <f>Sales[[#This Row],[Quantity]]*Drugs[[#This Row],[UnitPrice]]</f>
        <v>1955</v>
      </c>
      <c r="G35" s="8">
        <v>23</v>
      </c>
      <c r="H35" s="7">
        <f>(Drugs[[#This Row],[UnitPrice]]-Drugs[[#This Row],[CostPrice]])*Sales[[#This Row],[Quantity]]</f>
        <v>1190</v>
      </c>
      <c r="I35" s="1" t="str">
        <f t="shared" si="0"/>
        <v>Jul</v>
      </c>
    </row>
    <row r="36" spans="1:9" x14ac:dyDescent="0.25">
      <c r="A36" t="s">
        <v>276</v>
      </c>
      <c r="B36" t="s">
        <v>102</v>
      </c>
      <c r="C36" t="s">
        <v>132</v>
      </c>
      <c r="D36">
        <v>237</v>
      </c>
      <c r="E36" s="11">
        <v>45856</v>
      </c>
      <c r="F36" s="9">
        <f>Sales[[#This Row],[Quantity]]*Drugs[[#This Row],[UnitPrice]]</f>
        <v>9006</v>
      </c>
      <c r="G36" s="8">
        <v>38</v>
      </c>
      <c r="H36" s="7">
        <f>(Drugs[[#This Row],[UnitPrice]]-Drugs[[#This Row],[CostPrice]])*Sales[[#This Row],[Quantity]]</f>
        <v>4740</v>
      </c>
      <c r="I36" s="1" t="str">
        <f t="shared" si="0"/>
        <v>Jul</v>
      </c>
    </row>
    <row r="37" spans="1:9" x14ac:dyDescent="0.25">
      <c r="A37" t="s">
        <v>277</v>
      </c>
      <c r="B37" t="s">
        <v>57</v>
      </c>
      <c r="C37" t="s">
        <v>174</v>
      </c>
      <c r="D37">
        <v>418</v>
      </c>
      <c r="E37" s="11">
        <v>45778</v>
      </c>
      <c r="F37" s="9">
        <f>Sales[[#This Row],[Quantity]]*Drugs[[#This Row],[UnitPrice]]</f>
        <v>10032</v>
      </c>
      <c r="G37" s="8">
        <v>24</v>
      </c>
      <c r="H37" s="7">
        <f>(Drugs[[#This Row],[UnitPrice]]-Drugs[[#This Row],[CostPrice]])*Sales[[#This Row],[Quantity]]</f>
        <v>6270</v>
      </c>
      <c r="I37" s="1" t="str">
        <f t="shared" si="0"/>
        <v>May</v>
      </c>
    </row>
    <row r="38" spans="1:9" x14ac:dyDescent="0.25">
      <c r="A38" t="s">
        <v>278</v>
      </c>
      <c r="B38" t="s">
        <v>67</v>
      </c>
      <c r="C38" t="s">
        <v>166</v>
      </c>
      <c r="D38">
        <v>493</v>
      </c>
      <c r="E38" s="11">
        <v>45728</v>
      </c>
      <c r="F38" s="9">
        <f>Sales[[#This Row],[Quantity]]*Drugs[[#This Row],[UnitPrice]]</f>
        <v>6902</v>
      </c>
      <c r="G38" s="8">
        <v>14</v>
      </c>
      <c r="H38" s="7">
        <f>(Drugs[[#This Row],[UnitPrice]]-Drugs[[#This Row],[CostPrice]])*Sales[[#This Row],[Quantity]]</f>
        <v>4437</v>
      </c>
      <c r="I38" s="1" t="str">
        <f t="shared" si="0"/>
        <v>Mar</v>
      </c>
    </row>
    <row r="39" spans="1:9" x14ac:dyDescent="0.25">
      <c r="A39" t="s">
        <v>279</v>
      </c>
      <c r="B39" t="s">
        <v>87</v>
      </c>
      <c r="C39" t="s">
        <v>183</v>
      </c>
      <c r="D39">
        <v>392</v>
      </c>
      <c r="E39" s="11">
        <v>45808</v>
      </c>
      <c r="F39" s="9">
        <f>Sales[[#This Row],[Quantity]]*Drugs[[#This Row],[UnitPrice]]</f>
        <v>12936</v>
      </c>
      <c r="G39" s="8">
        <v>33</v>
      </c>
      <c r="H39" s="7">
        <f>(Drugs[[#This Row],[UnitPrice]]-Drugs[[#This Row],[CostPrice]])*Sales[[#This Row],[Quantity]]</f>
        <v>5880</v>
      </c>
      <c r="I39" s="1" t="str">
        <f t="shared" si="0"/>
        <v>May</v>
      </c>
    </row>
    <row r="40" spans="1:9" x14ac:dyDescent="0.25">
      <c r="A40" t="s">
        <v>280</v>
      </c>
      <c r="B40" t="s">
        <v>57</v>
      </c>
      <c r="C40" t="s">
        <v>174</v>
      </c>
      <c r="D40">
        <v>237</v>
      </c>
      <c r="E40" s="11">
        <v>45790</v>
      </c>
      <c r="F40" s="9">
        <f>Sales[[#This Row],[Quantity]]*Drugs[[#This Row],[UnitPrice]]</f>
        <v>8058</v>
      </c>
      <c r="G40" s="8">
        <v>34</v>
      </c>
      <c r="H40" s="7">
        <f>(Drugs[[#This Row],[UnitPrice]]-Drugs[[#This Row],[CostPrice]])*Sales[[#This Row],[Quantity]]</f>
        <v>3792</v>
      </c>
      <c r="I40" s="1" t="str">
        <f t="shared" si="0"/>
        <v>May</v>
      </c>
    </row>
    <row r="41" spans="1:9" x14ac:dyDescent="0.25">
      <c r="A41" t="s">
        <v>281</v>
      </c>
      <c r="B41" t="s">
        <v>103</v>
      </c>
      <c r="C41" t="s">
        <v>195</v>
      </c>
      <c r="D41">
        <v>395</v>
      </c>
      <c r="E41" s="11">
        <v>45719</v>
      </c>
      <c r="F41" s="9">
        <f>Sales[[#This Row],[Quantity]]*Drugs[[#This Row],[UnitPrice]]</f>
        <v>14220</v>
      </c>
      <c r="G41" s="8">
        <v>36</v>
      </c>
      <c r="H41" s="7">
        <f>(Drugs[[#This Row],[UnitPrice]]-Drugs[[#This Row],[CostPrice]])*Sales[[#This Row],[Quantity]]</f>
        <v>6320</v>
      </c>
      <c r="I41" s="1" t="str">
        <f t="shared" si="0"/>
        <v>Mar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1E53-89A7-41F9-A936-47521B813868}">
  <dimension ref="A1:I41"/>
  <sheetViews>
    <sheetView topLeftCell="A22" workbookViewId="0">
      <selection activeCell="F41" sqref="F41"/>
    </sheetView>
  </sheetViews>
  <sheetFormatPr defaultRowHeight="15" x14ac:dyDescent="0.25"/>
  <cols>
    <col min="1" max="1" width="9.28515625" bestFit="1" customWidth="1"/>
    <col min="2" max="2" width="24.7109375" bestFit="1" customWidth="1"/>
    <col min="3" max="3" width="25.140625" bestFit="1" customWidth="1"/>
    <col min="4" max="4" width="11.85546875" bestFit="1" customWidth="1"/>
    <col min="5" max="6" width="11.5703125" style="8" bestFit="1" customWidth="1"/>
    <col min="7" max="7" width="18.140625" bestFit="1" customWidth="1"/>
    <col min="8" max="8" width="22.140625" style="1" customWidth="1"/>
    <col min="9" max="9" width="13.28515625" style="1" customWidth="1"/>
  </cols>
  <sheetData>
    <row r="1" spans="1:9" x14ac:dyDescent="0.25">
      <c r="A1" t="s">
        <v>104</v>
      </c>
      <c r="B1" t="s">
        <v>105</v>
      </c>
      <c r="C1" t="s">
        <v>106</v>
      </c>
      <c r="D1" t="s">
        <v>107</v>
      </c>
      <c r="E1" s="8" t="s">
        <v>108</v>
      </c>
      <c r="F1" s="8" t="s">
        <v>109</v>
      </c>
      <c r="G1" t="s">
        <v>110</v>
      </c>
      <c r="H1" t="s">
        <v>306</v>
      </c>
      <c r="I1" s="1" t="s">
        <v>307</v>
      </c>
    </row>
    <row r="2" spans="1:9" x14ac:dyDescent="0.25">
      <c r="A2" t="s">
        <v>111</v>
      </c>
      <c r="B2" t="s">
        <v>112</v>
      </c>
      <c r="C2" t="s">
        <v>113</v>
      </c>
      <c r="D2" t="s">
        <v>114</v>
      </c>
      <c r="E2" s="8">
        <v>12</v>
      </c>
      <c r="F2" s="8">
        <v>6</v>
      </c>
      <c r="G2">
        <v>24</v>
      </c>
      <c r="H2" s="11">
        <v>45658</v>
      </c>
      <c r="I2" s="1">
        <f>EDATE(Drugs[[#This Row],[ManufactureDate]],Drugs[[#This Row],[ShelfLifeMonths]])</f>
        <v>46388</v>
      </c>
    </row>
    <row r="3" spans="1:9" x14ac:dyDescent="0.25">
      <c r="A3" t="s">
        <v>115</v>
      </c>
      <c r="B3" t="s">
        <v>116</v>
      </c>
      <c r="C3" t="s">
        <v>117</v>
      </c>
      <c r="D3" t="s">
        <v>114</v>
      </c>
      <c r="E3" s="8">
        <v>18</v>
      </c>
      <c r="F3" s="8">
        <v>9</v>
      </c>
      <c r="G3">
        <v>24</v>
      </c>
      <c r="H3" s="11">
        <v>45659</v>
      </c>
      <c r="I3" s="1">
        <f>EDATE(Drugs[[#This Row],[ManufactureDate]],Drugs[[#This Row],[ShelfLifeMonths]])</f>
        <v>46389</v>
      </c>
    </row>
    <row r="4" spans="1:9" x14ac:dyDescent="0.25">
      <c r="A4" t="s">
        <v>118</v>
      </c>
      <c r="B4" t="s">
        <v>119</v>
      </c>
      <c r="C4" t="s">
        <v>120</v>
      </c>
      <c r="D4" t="s">
        <v>121</v>
      </c>
      <c r="E4" s="8">
        <v>35</v>
      </c>
      <c r="F4" s="8">
        <v>20</v>
      </c>
      <c r="G4">
        <v>18</v>
      </c>
      <c r="H4" s="11">
        <v>45660</v>
      </c>
      <c r="I4" s="1">
        <f>EDATE(Drugs[[#This Row],[ManufactureDate]],Drugs[[#This Row],[ShelfLifeMonths]])</f>
        <v>46206</v>
      </c>
    </row>
    <row r="5" spans="1:9" x14ac:dyDescent="0.25">
      <c r="A5" t="s">
        <v>122</v>
      </c>
      <c r="B5" t="s">
        <v>123</v>
      </c>
      <c r="C5" t="s">
        <v>124</v>
      </c>
      <c r="D5" t="s">
        <v>121</v>
      </c>
      <c r="E5" s="8">
        <v>48</v>
      </c>
      <c r="F5" s="8">
        <v>30</v>
      </c>
      <c r="G5">
        <v>24</v>
      </c>
      <c r="H5" s="11">
        <v>45661</v>
      </c>
      <c r="I5" s="1">
        <f>EDATE(Drugs[[#This Row],[ManufactureDate]],Drugs[[#This Row],[ShelfLifeMonths]])</f>
        <v>46391</v>
      </c>
    </row>
    <row r="6" spans="1:9" x14ac:dyDescent="0.25">
      <c r="A6" t="s">
        <v>125</v>
      </c>
      <c r="B6" t="s">
        <v>126</v>
      </c>
      <c r="C6" t="s">
        <v>127</v>
      </c>
      <c r="D6" t="s">
        <v>121</v>
      </c>
      <c r="E6" s="8">
        <v>55</v>
      </c>
      <c r="F6" s="8">
        <v>35</v>
      </c>
      <c r="G6">
        <v>24</v>
      </c>
      <c r="H6" s="11">
        <v>45662</v>
      </c>
      <c r="I6" s="1">
        <f>EDATE(Drugs[[#This Row],[ManufactureDate]],Drugs[[#This Row],[ShelfLifeMonths]])</f>
        <v>46392</v>
      </c>
    </row>
    <row r="7" spans="1:9" x14ac:dyDescent="0.25">
      <c r="A7" t="s">
        <v>128</v>
      </c>
      <c r="B7" t="s">
        <v>129</v>
      </c>
      <c r="C7" t="s">
        <v>130</v>
      </c>
      <c r="D7" t="s">
        <v>131</v>
      </c>
      <c r="E7" s="8">
        <v>10</v>
      </c>
      <c r="F7" s="8">
        <v>5</v>
      </c>
      <c r="G7">
        <v>36</v>
      </c>
      <c r="H7" s="11">
        <v>45663</v>
      </c>
      <c r="I7" s="1">
        <f>EDATE(Drugs[[#This Row],[ManufactureDate]],Drugs[[#This Row],[ShelfLifeMonths]])</f>
        <v>46758</v>
      </c>
    </row>
    <row r="8" spans="1:9" x14ac:dyDescent="0.25">
      <c r="A8" t="s">
        <v>132</v>
      </c>
      <c r="B8" t="s">
        <v>133</v>
      </c>
      <c r="C8" t="s">
        <v>134</v>
      </c>
      <c r="D8" t="s">
        <v>131</v>
      </c>
      <c r="E8" s="8">
        <v>20</v>
      </c>
      <c r="F8" s="8">
        <v>10</v>
      </c>
      <c r="G8">
        <v>36</v>
      </c>
      <c r="H8" s="11">
        <v>45664</v>
      </c>
      <c r="I8" s="1">
        <f>EDATE(Drugs[[#This Row],[ManufactureDate]],Drugs[[#This Row],[ShelfLifeMonths]])</f>
        <v>46759</v>
      </c>
    </row>
    <row r="9" spans="1:9" x14ac:dyDescent="0.25">
      <c r="A9" t="s">
        <v>135</v>
      </c>
      <c r="B9" t="s">
        <v>136</v>
      </c>
      <c r="C9" t="s">
        <v>137</v>
      </c>
      <c r="D9" t="s">
        <v>138</v>
      </c>
      <c r="E9" s="8">
        <v>22</v>
      </c>
      <c r="F9" s="8">
        <v>12</v>
      </c>
      <c r="G9">
        <v>30</v>
      </c>
      <c r="H9" s="11">
        <v>45665</v>
      </c>
      <c r="I9" s="1">
        <f>EDATE(Drugs[[#This Row],[ManufactureDate]],Drugs[[#This Row],[ShelfLifeMonths]])</f>
        <v>46576</v>
      </c>
    </row>
    <row r="10" spans="1:9" x14ac:dyDescent="0.25">
      <c r="A10" t="s">
        <v>139</v>
      </c>
      <c r="B10" t="s">
        <v>140</v>
      </c>
      <c r="C10" t="s">
        <v>141</v>
      </c>
      <c r="D10" t="s">
        <v>138</v>
      </c>
      <c r="E10" s="8">
        <v>18</v>
      </c>
      <c r="F10" s="8">
        <v>10</v>
      </c>
      <c r="G10">
        <v>30</v>
      </c>
      <c r="H10" s="11">
        <v>45666</v>
      </c>
      <c r="I10" s="1">
        <f>EDATE(Drugs[[#This Row],[ManufactureDate]],Drugs[[#This Row],[ShelfLifeMonths]])</f>
        <v>46577</v>
      </c>
    </row>
    <row r="11" spans="1:9" x14ac:dyDescent="0.25">
      <c r="A11" t="s">
        <v>142</v>
      </c>
      <c r="B11" t="s">
        <v>143</v>
      </c>
      <c r="C11" t="s">
        <v>144</v>
      </c>
      <c r="D11" t="s">
        <v>145</v>
      </c>
      <c r="E11" s="8">
        <v>5</v>
      </c>
      <c r="F11" s="8">
        <v>3</v>
      </c>
      <c r="G11">
        <v>48</v>
      </c>
      <c r="H11" s="11">
        <v>45667</v>
      </c>
      <c r="I11" s="1">
        <f>EDATE(Drugs[[#This Row],[ManufactureDate]],Drugs[[#This Row],[ShelfLifeMonths]])</f>
        <v>47128</v>
      </c>
    </row>
    <row r="12" spans="1:9" x14ac:dyDescent="0.25">
      <c r="A12" t="s">
        <v>146</v>
      </c>
      <c r="B12" t="s">
        <v>147</v>
      </c>
      <c r="C12" t="s">
        <v>148</v>
      </c>
      <c r="D12" t="s">
        <v>149</v>
      </c>
      <c r="E12" s="8">
        <v>8</v>
      </c>
      <c r="F12" s="8">
        <v>4</v>
      </c>
      <c r="G12">
        <v>36</v>
      </c>
      <c r="H12" s="11">
        <v>45668</v>
      </c>
      <c r="I12" s="1">
        <f>EDATE(Drugs[[#This Row],[ManufactureDate]],Drugs[[#This Row],[ShelfLifeMonths]])</f>
        <v>46763</v>
      </c>
    </row>
    <row r="13" spans="1:9" x14ac:dyDescent="0.25">
      <c r="A13" t="s">
        <v>150</v>
      </c>
      <c r="B13" t="s">
        <v>151</v>
      </c>
      <c r="C13" t="s">
        <v>152</v>
      </c>
      <c r="D13" t="s">
        <v>149</v>
      </c>
      <c r="E13" s="8">
        <v>12</v>
      </c>
      <c r="F13" s="8">
        <v>6</v>
      </c>
      <c r="G13">
        <v>36</v>
      </c>
      <c r="H13" s="11">
        <v>45669</v>
      </c>
      <c r="I13" s="1">
        <f>EDATE(Drugs[[#This Row],[ManufactureDate]],Drugs[[#This Row],[ShelfLifeMonths]])</f>
        <v>46764</v>
      </c>
    </row>
    <row r="14" spans="1:9" x14ac:dyDescent="0.25">
      <c r="A14" t="s">
        <v>153</v>
      </c>
      <c r="B14" t="s">
        <v>154</v>
      </c>
      <c r="C14" t="s">
        <v>155</v>
      </c>
      <c r="D14" t="s">
        <v>156</v>
      </c>
      <c r="E14" s="8">
        <v>25</v>
      </c>
      <c r="F14" s="8">
        <v>15</v>
      </c>
      <c r="G14">
        <v>24</v>
      </c>
      <c r="H14" s="11">
        <v>45670</v>
      </c>
      <c r="I14" s="1">
        <f>EDATE(Drugs[[#This Row],[ManufactureDate]],Drugs[[#This Row],[ShelfLifeMonths]])</f>
        <v>46400</v>
      </c>
    </row>
    <row r="15" spans="1:9" x14ac:dyDescent="0.25">
      <c r="A15" t="s">
        <v>157</v>
      </c>
      <c r="B15" t="s">
        <v>158</v>
      </c>
      <c r="C15" t="s">
        <v>159</v>
      </c>
      <c r="D15" t="s">
        <v>156</v>
      </c>
      <c r="E15" s="8">
        <v>30</v>
      </c>
      <c r="F15" s="8">
        <v>18</v>
      </c>
      <c r="G15">
        <v>24</v>
      </c>
      <c r="H15" s="11">
        <v>45671</v>
      </c>
      <c r="I15" s="1">
        <f>EDATE(Drugs[[#This Row],[ManufactureDate]],Drugs[[#This Row],[ShelfLifeMonths]])</f>
        <v>46401</v>
      </c>
    </row>
    <row r="16" spans="1:9" x14ac:dyDescent="0.25">
      <c r="A16" t="s">
        <v>160</v>
      </c>
      <c r="B16" t="s">
        <v>161</v>
      </c>
      <c r="C16" t="s">
        <v>161</v>
      </c>
      <c r="D16" t="s">
        <v>156</v>
      </c>
      <c r="E16" s="8">
        <v>150</v>
      </c>
      <c r="F16" s="8">
        <v>100</v>
      </c>
      <c r="G16">
        <v>18</v>
      </c>
      <c r="H16" s="11">
        <v>45672</v>
      </c>
      <c r="I16" s="1">
        <f>EDATE(Drugs[[#This Row],[ManufactureDate]],Drugs[[#This Row],[ShelfLifeMonths]])</f>
        <v>46218</v>
      </c>
    </row>
    <row r="17" spans="1:9" x14ac:dyDescent="0.25">
      <c r="A17" t="s">
        <v>162</v>
      </c>
      <c r="B17" t="s">
        <v>163</v>
      </c>
      <c r="C17" t="s">
        <v>164</v>
      </c>
      <c r="D17" t="s">
        <v>165</v>
      </c>
      <c r="E17" s="8">
        <v>12</v>
      </c>
      <c r="F17" s="8">
        <v>6</v>
      </c>
      <c r="G17">
        <v>36</v>
      </c>
      <c r="H17" s="11">
        <v>45673</v>
      </c>
      <c r="I17" s="1">
        <f>EDATE(Drugs[[#This Row],[ManufactureDate]],Drugs[[#This Row],[ShelfLifeMonths]])</f>
        <v>46768</v>
      </c>
    </row>
    <row r="18" spans="1:9" x14ac:dyDescent="0.25">
      <c r="A18" t="s">
        <v>166</v>
      </c>
      <c r="B18" t="s">
        <v>167</v>
      </c>
      <c r="C18" t="s">
        <v>168</v>
      </c>
      <c r="D18" t="s">
        <v>165</v>
      </c>
      <c r="E18" s="8">
        <v>35</v>
      </c>
      <c r="F18" s="8">
        <v>22</v>
      </c>
      <c r="G18">
        <v>24</v>
      </c>
      <c r="H18" s="11">
        <v>45674</v>
      </c>
      <c r="I18" s="1">
        <f>EDATE(Drugs[[#This Row],[ManufactureDate]],Drugs[[#This Row],[ShelfLifeMonths]])</f>
        <v>46404</v>
      </c>
    </row>
    <row r="19" spans="1:9" x14ac:dyDescent="0.25">
      <c r="A19" t="s">
        <v>169</v>
      </c>
      <c r="B19" t="s">
        <v>170</v>
      </c>
      <c r="C19" t="s">
        <v>171</v>
      </c>
      <c r="D19" t="s">
        <v>165</v>
      </c>
      <c r="E19" s="8">
        <v>30</v>
      </c>
      <c r="F19" s="8">
        <v>18</v>
      </c>
      <c r="G19">
        <v>24</v>
      </c>
      <c r="H19" s="11">
        <v>45675</v>
      </c>
      <c r="I19" s="1">
        <f>EDATE(Drugs[[#This Row],[ManufactureDate]],Drugs[[#This Row],[ShelfLifeMonths]])</f>
        <v>46405</v>
      </c>
    </row>
    <row r="20" spans="1:9" x14ac:dyDescent="0.25">
      <c r="A20" t="s">
        <v>172</v>
      </c>
      <c r="B20" t="s">
        <v>173</v>
      </c>
      <c r="C20" t="s">
        <v>173</v>
      </c>
      <c r="D20" t="s">
        <v>131</v>
      </c>
      <c r="E20" s="8">
        <v>15</v>
      </c>
      <c r="F20" s="8">
        <v>8</v>
      </c>
      <c r="G20">
        <v>36</v>
      </c>
      <c r="H20" s="11">
        <v>45676</v>
      </c>
      <c r="I20" s="1">
        <f>EDATE(Drugs[[#This Row],[ManufactureDate]],Drugs[[#This Row],[ShelfLifeMonths]])</f>
        <v>46771</v>
      </c>
    </row>
    <row r="21" spans="1:9" x14ac:dyDescent="0.25">
      <c r="A21" t="s">
        <v>174</v>
      </c>
      <c r="B21" t="s">
        <v>175</v>
      </c>
      <c r="C21" t="s">
        <v>176</v>
      </c>
      <c r="D21" t="s">
        <v>145</v>
      </c>
      <c r="E21" s="8">
        <v>6</v>
      </c>
      <c r="F21" s="8">
        <v>3</v>
      </c>
      <c r="G21">
        <v>36</v>
      </c>
      <c r="H21" s="11">
        <v>45677</v>
      </c>
      <c r="I21" s="1">
        <f>EDATE(Drugs[[#This Row],[ManufactureDate]],Drugs[[#This Row],[ShelfLifeMonths]])</f>
        <v>46772</v>
      </c>
    </row>
    <row r="22" spans="1:9" x14ac:dyDescent="0.25">
      <c r="A22" t="s">
        <v>177</v>
      </c>
      <c r="B22" t="s">
        <v>178</v>
      </c>
      <c r="C22" t="s">
        <v>179</v>
      </c>
      <c r="D22" t="s">
        <v>131</v>
      </c>
      <c r="E22" s="8">
        <v>13</v>
      </c>
      <c r="F22" s="8">
        <v>5</v>
      </c>
      <c r="G22">
        <v>36</v>
      </c>
      <c r="H22" s="11">
        <v>45678</v>
      </c>
      <c r="I22" s="1">
        <f>EDATE(Drugs[[#This Row],[ManufactureDate]],Drugs[[#This Row],[ShelfLifeMonths]])</f>
        <v>46773</v>
      </c>
    </row>
    <row r="23" spans="1:9" x14ac:dyDescent="0.25">
      <c r="A23" t="s">
        <v>180</v>
      </c>
      <c r="B23" t="s">
        <v>181</v>
      </c>
      <c r="C23" t="s">
        <v>182</v>
      </c>
      <c r="D23" t="s">
        <v>131</v>
      </c>
      <c r="E23" s="8">
        <v>18</v>
      </c>
      <c r="F23" s="8">
        <v>5</v>
      </c>
      <c r="G23">
        <v>36</v>
      </c>
      <c r="H23" s="11">
        <v>45679</v>
      </c>
      <c r="I23" s="1">
        <f>EDATE(Drugs[[#This Row],[ManufactureDate]],Drugs[[#This Row],[ShelfLifeMonths]])</f>
        <v>46774</v>
      </c>
    </row>
    <row r="24" spans="1:9" x14ac:dyDescent="0.25">
      <c r="A24" t="s">
        <v>183</v>
      </c>
      <c r="B24" t="s">
        <v>184</v>
      </c>
      <c r="C24" t="s">
        <v>185</v>
      </c>
      <c r="D24" t="s">
        <v>138</v>
      </c>
      <c r="E24" s="8">
        <v>24</v>
      </c>
      <c r="F24" s="8">
        <v>12</v>
      </c>
      <c r="G24">
        <v>30</v>
      </c>
      <c r="H24" s="11">
        <v>45680</v>
      </c>
      <c r="I24" s="1">
        <f>EDATE(Drugs[[#This Row],[ManufactureDate]],Drugs[[#This Row],[ShelfLifeMonths]])</f>
        <v>46591</v>
      </c>
    </row>
    <row r="25" spans="1:9" x14ac:dyDescent="0.25">
      <c r="A25" t="s">
        <v>186</v>
      </c>
      <c r="B25" t="s">
        <v>187</v>
      </c>
      <c r="C25" t="s">
        <v>188</v>
      </c>
      <c r="D25" t="s">
        <v>121</v>
      </c>
      <c r="E25" s="8">
        <v>52</v>
      </c>
      <c r="F25" s="8">
        <v>30</v>
      </c>
      <c r="G25">
        <v>24</v>
      </c>
      <c r="H25" s="11">
        <v>45681</v>
      </c>
      <c r="I25" s="1">
        <f>EDATE(Drugs[[#This Row],[ManufactureDate]],Drugs[[#This Row],[ShelfLifeMonths]])</f>
        <v>46411</v>
      </c>
    </row>
    <row r="26" spans="1:9" x14ac:dyDescent="0.25">
      <c r="A26" t="s">
        <v>189</v>
      </c>
      <c r="B26" t="s">
        <v>190</v>
      </c>
      <c r="C26" t="s">
        <v>191</v>
      </c>
      <c r="D26" t="s">
        <v>156</v>
      </c>
      <c r="E26" s="8">
        <v>34</v>
      </c>
      <c r="F26" s="8">
        <v>18</v>
      </c>
      <c r="G26">
        <v>24</v>
      </c>
      <c r="H26" s="11">
        <v>45682</v>
      </c>
      <c r="I26" s="1">
        <f>EDATE(Drugs[[#This Row],[ManufactureDate]],Drugs[[#This Row],[ShelfLifeMonths]])</f>
        <v>46412</v>
      </c>
    </row>
    <row r="27" spans="1:9" x14ac:dyDescent="0.25">
      <c r="A27" t="s">
        <v>192</v>
      </c>
      <c r="B27" t="s">
        <v>193</v>
      </c>
      <c r="C27" t="s">
        <v>194</v>
      </c>
      <c r="D27" t="s">
        <v>149</v>
      </c>
      <c r="E27" s="8">
        <v>10</v>
      </c>
      <c r="F27" s="8">
        <v>4</v>
      </c>
      <c r="G27">
        <v>36</v>
      </c>
      <c r="H27" s="11">
        <v>45683</v>
      </c>
      <c r="I27" s="1">
        <f>EDATE(Drugs[[#This Row],[ManufactureDate]],Drugs[[#This Row],[ShelfLifeMonths]])</f>
        <v>46778</v>
      </c>
    </row>
    <row r="28" spans="1:9" x14ac:dyDescent="0.25">
      <c r="A28" t="s">
        <v>195</v>
      </c>
      <c r="B28" t="s">
        <v>196</v>
      </c>
      <c r="C28" t="s">
        <v>197</v>
      </c>
      <c r="D28" t="s">
        <v>121</v>
      </c>
      <c r="E28" s="8">
        <v>50</v>
      </c>
      <c r="F28" s="8">
        <v>30</v>
      </c>
      <c r="G28">
        <v>24</v>
      </c>
      <c r="H28" s="11">
        <v>45684</v>
      </c>
      <c r="I28" s="1">
        <f>EDATE(Drugs[[#This Row],[ManufactureDate]],Drugs[[#This Row],[ShelfLifeMonths]])</f>
        <v>46414</v>
      </c>
    </row>
    <row r="29" spans="1:9" x14ac:dyDescent="0.25">
      <c r="A29" t="s">
        <v>198</v>
      </c>
      <c r="B29" t="s">
        <v>199</v>
      </c>
      <c r="C29" t="s">
        <v>200</v>
      </c>
      <c r="D29" t="s">
        <v>121</v>
      </c>
      <c r="E29" s="8">
        <v>52</v>
      </c>
      <c r="F29" s="8">
        <v>30</v>
      </c>
      <c r="G29">
        <v>24</v>
      </c>
      <c r="H29" s="11">
        <v>45685</v>
      </c>
      <c r="I29" s="1">
        <f>EDATE(Drugs[[#This Row],[ManufactureDate]],Drugs[[#This Row],[ShelfLifeMonths]])</f>
        <v>46415</v>
      </c>
    </row>
    <row r="30" spans="1:9" x14ac:dyDescent="0.25">
      <c r="A30" t="s">
        <v>201</v>
      </c>
      <c r="B30" t="s">
        <v>202</v>
      </c>
      <c r="C30" t="s">
        <v>203</v>
      </c>
      <c r="D30" t="s">
        <v>131</v>
      </c>
      <c r="E30" s="8">
        <v>22</v>
      </c>
      <c r="F30" s="8">
        <v>10</v>
      </c>
      <c r="G30">
        <v>36</v>
      </c>
      <c r="H30" s="11">
        <v>45686</v>
      </c>
      <c r="I30" s="1">
        <f>EDATE(Drugs[[#This Row],[ManufactureDate]],Drugs[[#This Row],[ShelfLifeMonths]])</f>
        <v>46781</v>
      </c>
    </row>
    <row r="31" spans="1:9" x14ac:dyDescent="0.25">
      <c r="A31" t="s">
        <v>204</v>
      </c>
      <c r="B31" t="s">
        <v>205</v>
      </c>
      <c r="C31" t="s">
        <v>206</v>
      </c>
      <c r="D31" t="s">
        <v>131</v>
      </c>
      <c r="E31" s="8">
        <v>27</v>
      </c>
      <c r="F31" s="8">
        <v>10</v>
      </c>
      <c r="G31">
        <v>36</v>
      </c>
      <c r="H31" s="11">
        <v>45687</v>
      </c>
      <c r="I31" s="1">
        <f>EDATE(Drugs[[#This Row],[ManufactureDate]],Drugs[[#This Row],[ShelfLifeMonths]])</f>
        <v>46782</v>
      </c>
    </row>
    <row r="32" spans="1:9" x14ac:dyDescent="0.25">
      <c r="A32" t="s">
        <v>207</v>
      </c>
      <c r="B32" t="s">
        <v>208</v>
      </c>
      <c r="C32" t="s">
        <v>209</v>
      </c>
      <c r="D32" t="s">
        <v>131</v>
      </c>
      <c r="E32" s="8">
        <v>11</v>
      </c>
      <c r="F32" s="8">
        <v>5</v>
      </c>
      <c r="G32">
        <v>36</v>
      </c>
      <c r="H32" s="11">
        <v>45688</v>
      </c>
      <c r="I32" s="1">
        <f>EDATE(Drugs[[#This Row],[ManufactureDate]],Drugs[[#This Row],[ShelfLifeMonths]])</f>
        <v>46783</v>
      </c>
    </row>
    <row r="33" spans="1:9" x14ac:dyDescent="0.25">
      <c r="A33" t="s">
        <v>210</v>
      </c>
      <c r="B33" t="s">
        <v>211</v>
      </c>
      <c r="C33" t="s">
        <v>212</v>
      </c>
      <c r="D33" t="s">
        <v>131</v>
      </c>
      <c r="E33" s="8">
        <v>25</v>
      </c>
      <c r="F33" s="8">
        <v>10</v>
      </c>
      <c r="G33">
        <v>36</v>
      </c>
      <c r="H33" s="11">
        <v>45689</v>
      </c>
      <c r="I33" s="1">
        <f>EDATE(Drugs[[#This Row],[ManufactureDate]],Drugs[[#This Row],[ShelfLifeMonths]])</f>
        <v>46784</v>
      </c>
    </row>
    <row r="34" spans="1:9" x14ac:dyDescent="0.25">
      <c r="A34" t="s">
        <v>213</v>
      </c>
      <c r="B34" t="s">
        <v>214</v>
      </c>
      <c r="C34" t="s">
        <v>215</v>
      </c>
      <c r="D34" t="s">
        <v>131</v>
      </c>
      <c r="E34" s="8">
        <v>29</v>
      </c>
      <c r="F34" s="8">
        <v>10</v>
      </c>
      <c r="G34">
        <v>36</v>
      </c>
      <c r="H34" s="11">
        <v>45690</v>
      </c>
      <c r="I34" s="1">
        <f>EDATE(Drugs[[#This Row],[ManufactureDate]],Drugs[[#This Row],[ShelfLifeMonths]])</f>
        <v>46785</v>
      </c>
    </row>
    <row r="35" spans="1:9" x14ac:dyDescent="0.25">
      <c r="A35" t="s">
        <v>216</v>
      </c>
      <c r="B35" t="s">
        <v>217</v>
      </c>
      <c r="C35" t="s">
        <v>218</v>
      </c>
      <c r="D35" t="s">
        <v>114</v>
      </c>
      <c r="E35" s="8">
        <v>23</v>
      </c>
      <c r="F35" s="8">
        <v>9</v>
      </c>
      <c r="G35">
        <v>24</v>
      </c>
      <c r="H35" s="11">
        <v>45691</v>
      </c>
      <c r="I35" s="1">
        <f>EDATE(Drugs[[#This Row],[ManufactureDate]],Drugs[[#This Row],[ShelfLifeMonths]])</f>
        <v>46421</v>
      </c>
    </row>
    <row r="36" spans="1:9" x14ac:dyDescent="0.25">
      <c r="A36" t="s">
        <v>219</v>
      </c>
      <c r="B36" t="s">
        <v>220</v>
      </c>
      <c r="C36" t="s">
        <v>221</v>
      </c>
      <c r="D36" t="s">
        <v>156</v>
      </c>
      <c r="E36" s="8">
        <v>38</v>
      </c>
      <c r="F36" s="8">
        <v>18</v>
      </c>
      <c r="G36">
        <v>24</v>
      </c>
      <c r="H36" s="11">
        <v>45692</v>
      </c>
      <c r="I36" s="1">
        <f>EDATE(Drugs[[#This Row],[ManufactureDate]],Drugs[[#This Row],[ShelfLifeMonths]])</f>
        <v>46422</v>
      </c>
    </row>
    <row r="37" spans="1:9" x14ac:dyDescent="0.25">
      <c r="A37" t="s">
        <v>222</v>
      </c>
      <c r="B37" t="s">
        <v>223</v>
      </c>
      <c r="C37" t="s">
        <v>224</v>
      </c>
      <c r="D37" t="s">
        <v>114</v>
      </c>
      <c r="E37" s="8">
        <v>24</v>
      </c>
      <c r="F37" s="8">
        <v>9</v>
      </c>
      <c r="G37">
        <v>24</v>
      </c>
      <c r="H37" s="11">
        <v>45693</v>
      </c>
      <c r="I37" s="1">
        <f>EDATE(Drugs[[#This Row],[ManufactureDate]],Drugs[[#This Row],[ShelfLifeMonths]])</f>
        <v>46423</v>
      </c>
    </row>
    <row r="38" spans="1:9" x14ac:dyDescent="0.25">
      <c r="A38" t="s">
        <v>225</v>
      </c>
      <c r="B38" t="s">
        <v>226</v>
      </c>
      <c r="C38" t="s">
        <v>227</v>
      </c>
      <c r="D38" t="s">
        <v>131</v>
      </c>
      <c r="E38" s="8">
        <v>14</v>
      </c>
      <c r="F38" s="8">
        <v>5</v>
      </c>
      <c r="G38">
        <v>36</v>
      </c>
      <c r="H38" s="11">
        <v>45694</v>
      </c>
      <c r="I38" s="1">
        <f>EDATE(Drugs[[#This Row],[ManufactureDate]],Drugs[[#This Row],[ShelfLifeMonths]])</f>
        <v>46789</v>
      </c>
    </row>
    <row r="39" spans="1:9" x14ac:dyDescent="0.25">
      <c r="A39" t="s">
        <v>228</v>
      </c>
      <c r="B39" t="s">
        <v>229</v>
      </c>
      <c r="C39" t="s">
        <v>230</v>
      </c>
      <c r="D39" t="s">
        <v>165</v>
      </c>
      <c r="E39" s="8">
        <v>33</v>
      </c>
      <c r="F39" s="8">
        <v>18</v>
      </c>
      <c r="G39">
        <v>24</v>
      </c>
      <c r="H39" s="11">
        <v>45695</v>
      </c>
      <c r="I39" s="1">
        <f>EDATE(Drugs[[#This Row],[ManufactureDate]],Drugs[[#This Row],[ShelfLifeMonths]])</f>
        <v>46425</v>
      </c>
    </row>
    <row r="40" spans="1:9" x14ac:dyDescent="0.25">
      <c r="A40" t="s">
        <v>231</v>
      </c>
      <c r="B40" t="s">
        <v>232</v>
      </c>
      <c r="C40" t="s">
        <v>233</v>
      </c>
      <c r="D40" t="s">
        <v>165</v>
      </c>
      <c r="E40" s="8">
        <v>34</v>
      </c>
      <c r="F40" s="8">
        <v>18</v>
      </c>
      <c r="G40">
        <v>24</v>
      </c>
      <c r="H40" s="11">
        <v>45696</v>
      </c>
      <c r="I40" s="1">
        <f>EDATE(Drugs[[#This Row],[ManufactureDate]],Drugs[[#This Row],[ShelfLifeMonths]])</f>
        <v>46426</v>
      </c>
    </row>
    <row r="41" spans="1:9" x14ac:dyDescent="0.25">
      <c r="A41" t="s">
        <v>234</v>
      </c>
      <c r="B41" t="s">
        <v>235</v>
      </c>
      <c r="C41" t="s">
        <v>236</v>
      </c>
      <c r="D41" t="s">
        <v>121</v>
      </c>
      <c r="E41" s="8">
        <v>36</v>
      </c>
      <c r="F41" s="8">
        <v>20</v>
      </c>
      <c r="G41">
        <v>18</v>
      </c>
      <c r="H41" s="11">
        <v>45697</v>
      </c>
      <c r="I41" s="1">
        <f>EDATE(Drugs[[#This Row],[ManufactureDate]],Drugs[[#This Row],[ShelfLifeMonths]])</f>
        <v>46243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F541-B5A7-4C84-B5A6-0347C4BA6E2F}">
  <dimension ref="A1:E61"/>
  <sheetViews>
    <sheetView topLeftCell="A32" workbookViewId="0">
      <selection activeCell="E1" sqref="E1:E1048576"/>
    </sheetView>
  </sheetViews>
  <sheetFormatPr defaultRowHeight="15" x14ac:dyDescent="0.25"/>
  <cols>
    <col min="1" max="1" width="13.7109375" bestFit="1" customWidth="1"/>
    <col min="2" max="2" width="19.85546875" bestFit="1" customWidth="1"/>
    <col min="3" max="3" width="16.28515625" bestFit="1" customWidth="1"/>
    <col min="4" max="4" width="10.1406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43561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1">
        <v>43686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s="1">
        <v>44821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s="1">
        <v>43385</v>
      </c>
    </row>
    <row r="6" spans="1:5" x14ac:dyDescent="0.25">
      <c r="A6" t="s">
        <v>18</v>
      </c>
      <c r="B6" t="s">
        <v>19</v>
      </c>
      <c r="C6" t="s">
        <v>7</v>
      </c>
      <c r="D6" t="s">
        <v>17</v>
      </c>
      <c r="E6" s="1">
        <v>43742</v>
      </c>
    </row>
    <row r="7" spans="1:5" x14ac:dyDescent="0.25">
      <c r="A7" t="s">
        <v>20</v>
      </c>
      <c r="B7" t="s">
        <v>21</v>
      </c>
      <c r="C7" t="s">
        <v>7</v>
      </c>
      <c r="D7" t="s">
        <v>14</v>
      </c>
      <c r="E7" s="1">
        <v>43593</v>
      </c>
    </row>
    <row r="8" spans="1:5" x14ac:dyDescent="0.25">
      <c r="A8" t="s">
        <v>22</v>
      </c>
      <c r="B8" t="s">
        <v>23</v>
      </c>
      <c r="C8" t="s">
        <v>7</v>
      </c>
      <c r="D8" t="s">
        <v>8</v>
      </c>
      <c r="E8" s="1">
        <v>43705</v>
      </c>
    </row>
    <row r="9" spans="1:5" x14ac:dyDescent="0.25">
      <c r="A9" t="s">
        <v>24</v>
      </c>
      <c r="B9" t="s">
        <v>6</v>
      </c>
      <c r="C9" t="s">
        <v>7</v>
      </c>
      <c r="D9" t="s">
        <v>8</v>
      </c>
      <c r="E9" s="1">
        <v>44489</v>
      </c>
    </row>
    <row r="10" spans="1:5" x14ac:dyDescent="0.25">
      <c r="A10" t="s">
        <v>25</v>
      </c>
      <c r="B10" t="s">
        <v>26</v>
      </c>
      <c r="C10" t="s">
        <v>7</v>
      </c>
      <c r="D10" t="s">
        <v>27</v>
      </c>
      <c r="E10" s="1">
        <v>43863</v>
      </c>
    </row>
    <row r="11" spans="1:5" x14ac:dyDescent="0.25">
      <c r="A11" t="s">
        <v>28</v>
      </c>
      <c r="B11" t="s">
        <v>29</v>
      </c>
      <c r="C11" t="s">
        <v>11</v>
      </c>
      <c r="D11" t="s">
        <v>8</v>
      </c>
      <c r="E11" s="1">
        <v>44155</v>
      </c>
    </row>
    <row r="12" spans="1:5" x14ac:dyDescent="0.25">
      <c r="A12" t="s">
        <v>30</v>
      </c>
      <c r="B12" t="s">
        <v>31</v>
      </c>
      <c r="C12" t="s">
        <v>11</v>
      </c>
      <c r="D12" t="s">
        <v>27</v>
      </c>
      <c r="E12" s="1">
        <v>44931</v>
      </c>
    </row>
    <row r="13" spans="1:5" x14ac:dyDescent="0.25">
      <c r="A13" t="s">
        <v>32</v>
      </c>
      <c r="B13" t="s">
        <v>19</v>
      </c>
      <c r="C13" t="s">
        <v>11</v>
      </c>
      <c r="D13" t="s">
        <v>27</v>
      </c>
      <c r="E13" s="1">
        <v>44628</v>
      </c>
    </row>
    <row r="14" spans="1:5" x14ac:dyDescent="0.25">
      <c r="A14" t="s">
        <v>33</v>
      </c>
      <c r="B14" t="s">
        <v>34</v>
      </c>
      <c r="C14" t="s">
        <v>7</v>
      </c>
      <c r="D14" t="s">
        <v>17</v>
      </c>
      <c r="E14" s="1">
        <v>44671</v>
      </c>
    </row>
    <row r="15" spans="1:5" x14ac:dyDescent="0.25">
      <c r="A15" t="s">
        <v>35</v>
      </c>
      <c r="B15" t="s">
        <v>36</v>
      </c>
      <c r="C15" t="s">
        <v>11</v>
      </c>
      <c r="D15" t="s">
        <v>37</v>
      </c>
      <c r="E15" s="1">
        <v>44650</v>
      </c>
    </row>
    <row r="16" spans="1:5" x14ac:dyDescent="0.25">
      <c r="A16" t="s">
        <v>38</v>
      </c>
      <c r="B16" t="s">
        <v>39</v>
      </c>
      <c r="C16" t="s">
        <v>11</v>
      </c>
      <c r="D16" t="s">
        <v>14</v>
      </c>
      <c r="E16" s="1">
        <v>43374</v>
      </c>
    </row>
    <row r="17" spans="1:5" x14ac:dyDescent="0.25">
      <c r="A17" t="s">
        <v>40</v>
      </c>
      <c r="B17" t="s">
        <v>26</v>
      </c>
      <c r="C17" t="s">
        <v>7</v>
      </c>
      <c r="D17" t="s">
        <v>27</v>
      </c>
      <c r="E17" s="1">
        <v>43659</v>
      </c>
    </row>
    <row r="18" spans="1:5" x14ac:dyDescent="0.25">
      <c r="A18" t="s">
        <v>41</v>
      </c>
      <c r="B18" t="s">
        <v>42</v>
      </c>
      <c r="C18" t="s">
        <v>7</v>
      </c>
      <c r="D18" t="s">
        <v>27</v>
      </c>
      <c r="E18" s="1">
        <v>44921</v>
      </c>
    </row>
    <row r="19" spans="1:5" x14ac:dyDescent="0.25">
      <c r="A19" t="s">
        <v>43</v>
      </c>
      <c r="B19" t="s">
        <v>44</v>
      </c>
      <c r="C19" t="s">
        <v>11</v>
      </c>
      <c r="D19" t="s">
        <v>17</v>
      </c>
      <c r="E19" s="1">
        <v>44223</v>
      </c>
    </row>
    <row r="20" spans="1:5" x14ac:dyDescent="0.25">
      <c r="A20" t="s">
        <v>45</v>
      </c>
      <c r="B20" t="s">
        <v>46</v>
      </c>
      <c r="C20" t="s">
        <v>7</v>
      </c>
      <c r="D20" t="s">
        <v>37</v>
      </c>
      <c r="E20" s="1">
        <v>44579</v>
      </c>
    </row>
    <row r="21" spans="1:5" x14ac:dyDescent="0.25">
      <c r="A21" t="s">
        <v>47</v>
      </c>
      <c r="B21" t="s">
        <v>48</v>
      </c>
      <c r="C21" t="s">
        <v>11</v>
      </c>
      <c r="D21" t="s">
        <v>8</v>
      </c>
      <c r="E21" s="1">
        <v>43827</v>
      </c>
    </row>
    <row r="22" spans="1:5" x14ac:dyDescent="0.25">
      <c r="A22" t="s">
        <v>49</v>
      </c>
      <c r="B22" t="s">
        <v>50</v>
      </c>
      <c r="C22" t="s">
        <v>7</v>
      </c>
      <c r="D22" t="s">
        <v>17</v>
      </c>
      <c r="E22" s="1">
        <v>44683</v>
      </c>
    </row>
    <row r="23" spans="1:5" x14ac:dyDescent="0.25">
      <c r="A23" t="s">
        <v>51</v>
      </c>
      <c r="B23" t="s">
        <v>34</v>
      </c>
      <c r="C23" t="s">
        <v>11</v>
      </c>
      <c r="D23" t="s">
        <v>27</v>
      </c>
      <c r="E23" s="1">
        <v>43841</v>
      </c>
    </row>
    <row r="24" spans="1:5" x14ac:dyDescent="0.25">
      <c r="A24" t="s">
        <v>52</v>
      </c>
      <c r="B24" t="s">
        <v>53</v>
      </c>
      <c r="C24" t="s">
        <v>11</v>
      </c>
      <c r="D24" t="s">
        <v>17</v>
      </c>
      <c r="E24" s="1">
        <v>44428</v>
      </c>
    </row>
    <row r="25" spans="1:5" x14ac:dyDescent="0.25">
      <c r="A25" t="s">
        <v>54</v>
      </c>
      <c r="B25" t="s">
        <v>55</v>
      </c>
      <c r="C25" t="s">
        <v>7</v>
      </c>
      <c r="D25" t="s">
        <v>8</v>
      </c>
      <c r="E25" s="1">
        <v>43135</v>
      </c>
    </row>
    <row r="26" spans="1:5" x14ac:dyDescent="0.25">
      <c r="A26" t="s">
        <v>56</v>
      </c>
      <c r="B26" t="s">
        <v>36</v>
      </c>
      <c r="C26" t="s">
        <v>7</v>
      </c>
      <c r="D26" t="s">
        <v>17</v>
      </c>
      <c r="E26" s="1">
        <v>44002</v>
      </c>
    </row>
    <row r="27" spans="1:5" x14ac:dyDescent="0.25">
      <c r="A27" t="s">
        <v>57</v>
      </c>
      <c r="B27" t="s">
        <v>58</v>
      </c>
      <c r="C27" t="s">
        <v>11</v>
      </c>
      <c r="D27" t="s">
        <v>17</v>
      </c>
      <c r="E27" s="1">
        <v>44308</v>
      </c>
    </row>
    <row r="28" spans="1:5" x14ac:dyDescent="0.25">
      <c r="A28" t="s">
        <v>59</v>
      </c>
      <c r="B28" t="s">
        <v>34</v>
      </c>
      <c r="C28" t="s">
        <v>11</v>
      </c>
      <c r="D28" t="s">
        <v>14</v>
      </c>
      <c r="E28" s="1">
        <v>44982</v>
      </c>
    </row>
    <row r="29" spans="1:5" x14ac:dyDescent="0.25">
      <c r="A29" t="s">
        <v>60</v>
      </c>
      <c r="B29" t="s">
        <v>61</v>
      </c>
      <c r="C29" t="s">
        <v>7</v>
      </c>
      <c r="D29" t="s">
        <v>14</v>
      </c>
      <c r="E29" s="1">
        <v>43224</v>
      </c>
    </row>
    <row r="30" spans="1:5" x14ac:dyDescent="0.25">
      <c r="A30" t="s">
        <v>62</v>
      </c>
      <c r="B30" t="s">
        <v>63</v>
      </c>
      <c r="C30" t="s">
        <v>11</v>
      </c>
      <c r="D30" t="s">
        <v>17</v>
      </c>
      <c r="E30" s="1">
        <v>43537</v>
      </c>
    </row>
    <row r="31" spans="1:5" x14ac:dyDescent="0.25">
      <c r="A31" t="s">
        <v>64</v>
      </c>
      <c r="B31" t="s">
        <v>65</v>
      </c>
      <c r="C31" t="s">
        <v>7</v>
      </c>
      <c r="D31" t="s">
        <v>37</v>
      </c>
      <c r="E31" s="1">
        <v>43617</v>
      </c>
    </row>
    <row r="32" spans="1:5" x14ac:dyDescent="0.25">
      <c r="A32" t="s">
        <v>66</v>
      </c>
      <c r="B32" t="s">
        <v>44</v>
      </c>
      <c r="C32" t="s">
        <v>7</v>
      </c>
      <c r="D32" t="s">
        <v>17</v>
      </c>
      <c r="E32" s="1">
        <v>43266</v>
      </c>
    </row>
    <row r="33" spans="1:5" x14ac:dyDescent="0.25">
      <c r="A33" t="s">
        <v>67</v>
      </c>
      <c r="B33" t="s">
        <v>68</v>
      </c>
      <c r="C33" t="s">
        <v>7</v>
      </c>
      <c r="D33" t="s">
        <v>8</v>
      </c>
      <c r="E33" s="1">
        <v>44065</v>
      </c>
    </row>
    <row r="34" spans="1:5" x14ac:dyDescent="0.25">
      <c r="A34" t="s">
        <v>69</v>
      </c>
      <c r="B34" t="s">
        <v>10</v>
      </c>
      <c r="C34" t="s">
        <v>7</v>
      </c>
      <c r="D34" t="s">
        <v>37</v>
      </c>
      <c r="E34" s="1">
        <v>43771</v>
      </c>
    </row>
    <row r="35" spans="1:5" x14ac:dyDescent="0.25">
      <c r="A35" t="s">
        <v>70</v>
      </c>
      <c r="B35" t="s">
        <v>61</v>
      </c>
      <c r="C35" t="s">
        <v>11</v>
      </c>
      <c r="D35" t="s">
        <v>14</v>
      </c>
      <c r="E35" s="1">
        <v>44915</v>
      </c>
    </row>
    <row r="36" spans="1:5" x14ac:dyDescent="0.25">
      <c r="A36" t="s">
        <v>71</v>
      </c>
      <c r="B36" t="s">
        <v>19</v>
      </c>
      <c r="C36" t="s">
        <v>11</v>
      </c>
      <c r="D36" t="s">
        <v>8</v>
      </c>
      <c r="E36" s="1">
        <v>43161</v>
      </c>
    </row>
    <row r="37" spans="1:5" x14ac:dyDescent="0.25">
      <c r="A37" t="s">
        <v>72</v>
      </c>
      <c r="B37" t="s">
        <v>23</v>
      </c>
      <c r="C37" t="s">
        <v>7</v>
      </c>
      <c r="D37" t="s">
        <v>14</v>
      </c>
      <c r="E37" s="1">
        <v>43836</v>
      </c>
    </row>
    <row r="38" spans="1:5" x14ac:dyDescent="0.25">
      <c r="A38" t="s">
        <v>73</v>
      </c>
      <c r="B38" t="s">
        <v>74</v>
      </c>
      <c r="C38" t="s">
        <v>7</v>
      </c>
      <c r="D38" t="s">
        <v>27</v>
      </c>
      <c r="E38" s="1">
        <v>43417</v>
      </c>
    </row>
    <row r="39" spans="1:5" x14ac:dyDescent="0.25">
      <c r="A39" t="s">
        <v>75</v>
      </c>
      <c r="B39" t="s">
        <v>10</v>
      </c>
      <c r="C39" t="s">
        <v>11</v>
      </c>
      <c r="D39" t="s">
        <v>8</v>
      </c>
      <c r="E39" s="1">
        <v>43102</v>
      </c>
    </row>
    <row r="40" spans="1:5" x14ac:dyDescent="0.25">
      <c r="A40" t="s">
        <v>76</v>
      </c>
      <c r="B40" t="s">
        <v>77</v>
      </c>
      <c r="C40" t="s">
        <v>7</v>
      </c>
      <c r="D40" t="s">
        <v>37</v>
      </c>
      <c r="E40" s="1">
        <v>44253</v>
      </c>
    </row>
    <row r="41" spans="1:5" x14ac:dyDescent="0.25">
      <c r="A41" t="s">
        <v>78</v>
      </c>
      <c r="B41" t="s">
        <v>16</v>
      </c>
      <c r="C41" t="s">
        <v>7</v>
      </c>
      <c r="D41" t="s">
        <v>27</v>
      </c>
      <c r="E41" s="1">
        <v>43675</v>
      </c>
    </row>
    <row r="42" spans="1:5" x14ac:dyDescent="0.25">
      <c r="A42" t="s">
        <v>79</v>
      </c>
      <c r="B42" t="s">
        <v>16</v>
      </c>
      <c r="C42" t="s">
        <v>11</v>
      </c>
      <c r="D42" t="s">
        <v>8</v>
      </c>
      <c r="E42" s="1">
        <v>44896</v>
      </c>
    </row>
    <row r="43" spans="1:5" x14ac:dyDescent="0.25">
      <c r="A43" t="s">
        <v>80</v>
      </c>
      <c r="B43" t="s">
        <v>74</v>
      </c>
      <c r="C43" t="s">
        <v>7</v>
      </c>
      <c r="D43" t="s">
        <v>8</v>
      </c>
      <c r="E43" s="1">
        <v>44783</v>
      </c>
    </row>
    <row r="44" spans="1:5" x14ac:dyDescent="0.25">
      <c r="A44" t="s">
        <v>81</v>
      </c>
      <c r="B44" t="s">
        <v>13</v>
      </c>
      <c r="C44" t="s">
        <v>7</v>
      </c>
      <c r="D44" t="s">
        <v>27</v>
      </c>
      <c r="E44" s="1">
        <v>44032</v>
      </c>
    </row>
    <row r="45" spans="1:5" x14ac:dyDescent="0.25">
      <c r="A45" t="s">
        <v>82</v>
      </c>
      <c r="B45" t="s">
        <v>29</v>
      </c>
      <c r="C45" t="s">
        <v>11</v>
      </c>
      <c r="D45" t="s">
        <v>17</v>
      </c>
      <c r="E45" s="1">
        <v>43931</v>
      </c>
    </row>
    <row r="46" spans="1:5" x14ac:dyDescent="0.25">
      <c r="A46" t="s">
        <v>83</v>
      </c>
      <c r="B46" t="s">
        <v>16</v>
      </c>
      <c r="C46" t="s">
        <v>7</v>
      </c>
      <c r="D46" t="s">
        <v>27</v>
      </c>
      <c r="E46" s="1">
        <v>43624</v>
      </c>
    </row>
    <row r="47" spans="1:5" x14ac:dyDescent="0.25">
      <c r="A47" t="s">
        <v>84</v>
      </c>
      <c r="B47" t="s">
        <v>85</v>
      </c>
      <c r="C47" t="s">
        <v>7</v>
      </c>
      <c r="D47" t="s">
        <v>17</v>
      </c>
      <c r="E47" s="1">
        <v>44685</v>
      </c>
    </row>
    <row r="48" spans="1:5" x14ac:dyDescent="0.25">
      <c r="A48" t="s">
        <v>86</v>
      </c>
      <c r="B48" t="s">
        <v>39</v>
      </c>
      <c r="C48" t="s">
        <v>11</v>
      </c>
      <c r="D48" t="s">
        <v>14</v>
      </c>
      <c r="E48" s="1">
        <v>43861</v>
      </c>
    </row>
    <row r="49" spans="1:5" x14ac:dyDescent="0.25">
      <c r="A49" t="s">
        <v>87</v>
      </c>
      <c r="B49" t="s">
        <v>88</v>
      </c>
      <c r="C49" t="s">
        <v>7</v>
      </c>
      <c r="D49" t="s">
        <v>27</v>
      </c>
      <c r="E49" s="1">
        <v>44393</v>
      </c>
    </row>
    <row r="50" spans="1:5" x14ac:dyDescent="0.25">
      <c r="A50" t="s">
        <v>89</v>
      </c>
      <c r="B50" t="s">
        <v>46</v>
      </c>
      <c r="C50" t="s">
        <v>7</v>
      </c>
      <c r="D50" t="s">
        <v>27</v>
      </c>
      <c r="E50" s="1">
        <v>43781</v>
      </c>
    </row>
    <row r="51" spans="1:5" x14ac:dyDescent="0.25">
      <c r="A51" t="s">
        <v>90</v>
      </c>
      <c r="B51" t="s">
        <v>53</v>
      </c>
      <c r="C51" t="s">
        <v>11</v>
      </c>
      <c r="D51" t="s">
        <v>17</v>
      </c>
      <c r="E51" s="1">
        <v>43109</v>
      </c>
    </row>
    <row r="52" spans="1:5" x14ac:dyDescent="0.25">
      <c r="A52" t="s">
        <v>91</v>
      </c>
      <c r="B52" t="s">
        <v>68</v>
      </c>
      <c r="C52" t="s">
        <v>11</v>
      </c>
      <c r="D52" t="s">
        <v>17</v>
      </c>
      <c r="E52" s="1">
        <v>43557</v>
      </c>
    </row>
    <row r="53" spans="1:5" x14ac:dyDescent="0.25">
      <c r="A53" t="s">
        <v>92</v>
      </c>
      <c r="B53" t="s">
        <v>93</v>
      </c>
      <c r="C53" t="s">
        <v>7</v>
      </c>
      <c r="D53" t="s">
        <v>37</v>
      </c>
      <c r="E53" s="1">
        <v>44817</v>
      </c>
    </row>
    <row r="54" spans="1:5" x14ac:dyDescent="0.25">
      <c r="A54" t="s">
        <v>94</v>
      </c>
      <c r="B54" t="s">
        <v>36</v>
      </c>
      <c r="C54" t="s">
        <v>7</v>
      </c>
      <c r="D54" t="s">
        <v>27</v>
      </c>
      <c r="E54" s="1">
        <v>43306</v>
      </c>
    </row>
    <row r="55" spans="1:5" x14ac:dyDescent="0.25">
      <c r="A55" t="s">
        <v>95</v>
      </c>
      <c r="B55" t="s">
        <v>29</v>
      </c>
      <c r="C55" t="s">
        <v>7</v>
      </c>
      <c r="D55" t="s">
        <v>17</v>
      </c>
      <c r="E55" s="1">
        <v>44391</v>
      </c>
    </row>
    <row r="56" spans="1:5" x14ac:dyDescent="0.25">
      <c r="A56" t="s">
        <v>96</v>
      </c>
      <c r="B56" t="s">
        <v>50</v>
      </c>
      <c r="C56" t="s">
        <v>7</v>
      </c>
      <c r="D56" t="s">
        <v>8</v>
      </c>
      <c r="E56" s="1">
        <v>44425</v>
      </c>
    </row>
    <row r="57" spans="1:5" x14ac:dyDescent="0.25">
      <c r="A57" t="s">
        <v>97</v>
      </c>
      <c r="B57" t="s">
        <v>98</v>
      </c>
      <c r="C57" t="s">
        <v>11</v>
      </c>
      <c r="D57" t="s">
        <v>37</v>
      </c>
      <c r="E57" s="1">
        <v>44304</v>
      </c>
    </row>
    <row r="58" spans="1:5" x14ac:dyDescent="0.25">
      <c r="A58" t="s">
        <v>99</v>
      </c>
      <c r="B58" t="s">
        <v>65</v>
      </c>
      <c r="C58" t="s">
        <v>11</v>
      </c>
      <c r="D58" t="s">
        <v>8</v>
      </c>
      <c r="E58" s="1">
        <v>43618</v>
      </c>
    </row>
    <row r="59" spans="1:5" x14ac:dyDescent="0.25">
      <c r="A59" t="s">
        <v>100</v>
      </c>
      <c r="B59" t="s">
        <v>101</v>
      </c>
      <c r="C59" t="s">
        <v>11</v>
      </c>
      <c r="D59" t="s">
        <v>17</v>
      </c>
      <c r="E59" s="1">
        <v>43594</v>
      </c>
    </row>
    <row r="60" spans="1:5" x14ac:dyDescent="0.25">
      <c r="A60" t="s">
        <v>102</v>
      </c>
      <c r="B60" t="s">
        <v>88</v>
      </c>
      <c r="C60" t="s">
        <v>11</v>
      </c>
      <c r="D60" t="s">
        <v>14</v>
      </c>
      <c r="E60" s="1">
        <v>44288</v>
      </c>
    </row>
    <row r="61" spans="1:5" x14ac:dyDescent="0.25">
      <c r="A61" t="s">
        <v>103</v>
      </c>
      <c r="B61" t="s">
        <v>85</v>
      </c>
      <c r="C61" t="s">
        <v>7</v>
      </c>
      <c r="D61" t="s">
        <v>8</v>
      </c>
      <c r="E61" s="1">
        <v>43989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F63A-8D24-46F8-9E50-9B88DD5638C6}">
  <dimension ref="B1:C462"/>
  <sheetViews>
    <sheetView zoomScale="60" zoomScaleNormal="60" workbookViewId="0">
      <selection activeCell="H34" sqref="H34"/>
    </sheetView>
  </sheetViews>
  <sheetFormatPr defaultRowHeight="15" x14ac:dyDescent="0.25"/>
  <cols>
    <col min="1" max="1" width="11" bestFit="1" customWidth="1"/>
    <col min="2" max="2" width="11.42578125" style="1" bestFit="1" customWidth="1"/>
    <col min="3" max="3" width="11.140625" bestFit="1" customWidth="1"/>
  </cols>
  <sheetData>
    <row r="1" spans="3:3" x14ac:dyDescent="0.25">
      <c r="C1" s="1"/>
    </row>
    <row r="2" spans="3:3" x14ac:dyDescent="0.25">
      <c r="C2" s="1"/>
    </row>
    <row r="3" spans="3:3" x14ac:dyDescent="0.25">
      <c r="C3" s="1"/>
    </row>
    <row r="4" spans="3:3" x14ac:dyDescent="0.25">
      <c r="C4" s="1"/>
    </row>
    <row r="5" spans="3:3" x14ac:dyDescent="0.25">
      <c r="C5" s="1"/>
    </row>
    <row r="6" spans="3:3" x14ac:dyDescent="0.25">
      <c r="C6" s="1"/>
    </row>
    <row r="7" spans="3:3" x14ac:dyDescent="0.25">
      <c r="C7" s="1"/>
    </row>
    <row r="8" spans="3:3" x14ac:dyDescent="0.25">
      <c r="C8" s="1"/>
    </row>
    <row r="9" spans="3:3" x14ac:dyDescent="0.25">
      <c r="C9" s="1"/>
    </row>
    <row r="10" spans="3:3" x14ac:dyDescent="0.25">
      <c r="C10" s="1"/>
    </row>
    <row r="11" spans="3:3" x14ac:dyDescent="0.25">
      <c r="C11" s="1"/>
    </row>
    <row r="12" spans="3:3" x14ac:dyDescent="0.25">
      <c r="C12" s="1"/>
    </row>
    <row r="13" spans="3:3" x14ac:dyDescent="0.25">
      <c r="C13" s="1"/>
    </row>
    <row r="14" spans="3:3" x14ac:dyDescent="0.25">
      <c r="C14" s="1"/>
    </row>
    <row r="15" spans="3:3" x14ac:dyDescent="0.25">
      <c r="C15" s="1"/>
    </row>
    <row r="16" spans="3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71E732-2F33-4628-B02B-C7ED9D9097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pivoting</vt:lpstr>
      <vt:lpstr>Sales</vt:lpstr>
      <vt:lpstr>Drugs</vt:lpstr>
      <vt:lpstr>Customers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Owusu Agyare</dc:creator>
  <cp:lastModifiedBy>Prince Owusu Agyare</cp:lastModifiedBy>
  <dcterms:created xsi:type="dcterms:W3CDTF">2025-12-18T23:38:36Z</dcterms:created>
  <dcterms:modified xsi:type="dcterms:W3CDTF">2026-05-13T18:41:47Z</dcterms:modified>
</cp:coreProperties>
</file>